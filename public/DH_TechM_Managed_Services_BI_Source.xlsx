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09"/>
  <workbookPr defaultThemeVersion="166925"/>
  <xr:revisionPtr revIDLastSave="1037" documentId="11_E60897F41BE170836B02CE998F75CCDC64E183C8" xr6:coauthVersionLast="47" xr6:coauthVersionMax="47" xr10:uidLastSave="{2AF2D934-A72B-4027-8C13-0BFE5FB5FDE6}"/>
  <bookViews>
    <workbookView xWindow="240" yWindow="105" windowWidth="14805" windowHeight="8010" firstSheet="10" activeTab="7" xr2:uid="{00000000-000D-0000-FFFF-FFFF00000000}"/>
  </bookViews>
  <sheets>
    <sheet name="1. Agenda" sheetId="1" r:id="rId1"/>
    <sheet name="2. Previous MoM" sheetId="2" r:id="rId2"/>
    <sheet name="3. IT Ops" sheetId="3" r:id="rId3"/>
    <sheet name="4. Tickets" sheetId="4" r:id="rId4"/>
    <sheet name="5. Automation" sheetId="6" r:id="rId5"/>
    <sheet name="6. Vulnerability" sheetId="7" r:id="rId6"/>
    <sheet name="7. Risk " sheetId="8" r:id="rId7"/>
    <sheet name="8.AIOPS Roadmap" sheetId="9" r:id="rId8"/>
    <sheet name="10. Color Schema" sheetId="5" r:id="rId9"/>
    <sheet name="9. Projects " sheetId="10" r:id="rId10"/>
    <sheet name="11.Cost Optimization " sheetId="11"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V15" i="6" l="1"/>
  <c r="AM3" i="6"/>
  <c r="AG3" i="6"/>
  <c r="AA4" i="6"/>
  <c r="V14" i="6"/>
  <c r="V13" i="6"/>
  <c r="N6" i="6"/>
  <c r="O6" i="6"/>
  <c r="P6" i="6"/>
  <c r="Q6" i="6"/>
  <c r="D8" i="6"/>
  <c r="AC4" i="4"/>
  <c r="J8" i="4"/>
  <c r="I8" i="4"/>
  <c r="E10" i="4"/>
  <c r="D10" i="4"/>
  <c r="D11" i="4" s="1"/>
  <c r="H8" i="5"/>
  <c r="H9" i="5"/>
  <c r="H10" i="5"/>
  <c r="H11" i="5"/>
  <c r="H12" i="5"/>
  <c r="H13" i="5"/>
  <c r="H14" i="5"/>
  <c r="H15" i="5"/>
  <c r="H16" i="5"/>
  <c r="H17" i="5"/>
  <c r="H18" i="5"/>
  <c r="G8" i="5"/>
  <c r="G9" i="5"/>
  <c r="G10" i="5"/>
  <c r="G11" i="5"/>
  <c r="G12" i="5"/>
  <c r="G13" i="5"/>
  <c r="G14" i="5"/>
  <c r="G15" i="5"/>
  <c r="G16" i="5"/>
  <c r="G17" i="5"/>
  <c r="G18" i="5"/>
  <c r="F8" i="5"/>
  <c r="F9" i="5"/>
  <c r="F10" i="5"/>
  <c r="F11" i="5"/>
  <c r="F12" i="5"/>
  <c r="F13" i="5"/>
  <c r="F14" i="5"/>
  <c r="F15" i="5"/>
  <c r="F16" i="5"/>
  <c r="F17" i="5"/>
  <c r="F18" i="5"/>
  <c r="E8" i="5"/>
  <c r="E9" i="5"/>
  <c r="E10" i="5"/>
  <c r="E11" i="5"/>
  <c r="E12" i="5"/>
  <c r="E13" i="5"/>
  <c r="E14" i="5"/>
  <c r="E15" i="5"/>
  <c r="E16" i="5"/>
  <c r="E17" i="5"/>
  <c r="E18" i="5"/>
  <c r="D8" i="5"/>
  <c r="D9" i="5"/>
  <c r="D10" i="5"/>
  <c r="D11" i="5"/>
  <c r="D12" i="5"/>
  <c r="D13" i="5"/>
  <c r="D14" i="5"/>
  <c r="D15" i="5"/>
  <c r="D16" i="5"/>
  <c r="D17" i="5"/>
  <c r="D18" i="5"/>
  <c r="H7" i="5"/>
  <c r="G7" i="5"/>
  <c r="D7" i="5"/>
  <c r="E7" i="5"/>
  <c r="F7" i="5"/>
  <c r="R5" i="3"/>
  <c r="R6" i="3"/>
  <c r="R7" i="3"/>
  <c r="R8" i="3"/>
  <c r="R9" i="3"/>
  <c r="R4" i="3"/>
  <c r="R10" i="3"/>
</calcChain>
</file>

<file path=xl/sharedStrings.xml><?xml version="1.0" encoding="utf-8"?>
<sst xmlns="http://schemas.openxmlformats.org/spreadsheetml/2006/main" count="1152" uniqueCount="460">
  <si>
    <t>Availability</t>
  </si>
  <si>
    <t>CSAT/DSAT</t>
  </si>
  <si>
    <t>Change Management</t>
  </si>
  <si>
    <t>Major Incidents Volume</t>
  </si>
  <si>
    <t>SLA / KPI Reporting</t>
  </si>
  <si>
    <t>Key Observations</t>
  </si>
  <si>
    <t>Month</t>
  </si>
  <si>
    <t>Target</t>
  </si>
  <si>
    <t>CSAT Score</t>
  </si>
  <si>
    <t>Success</t>
  </si>
  <si>
    <t>Failed</t>
  </si>
  <si>
    <t>Change Success (%)</t>
  </si>
  <si>
    <t>Major Incidents Count</t>
  </si>
  <si>
    <t>Total KPIs</t>
  </si>
  <si>
    <t>Applicable</t>
  </si>
  <si>
    <t>Met</t>
  </si>
  <si>
    <t>Not Met</t>
  </si>
  <si>
    <t>Can't be Measured</t>
  </si>
  <si>
    <t>S/N</t>
  </si>
  <si>
    <t>Updates</t>
  </si>
  <si>
    <t>Insert Last 6 months of data here</t>
  </si>
  <si>
    <t>Insert Max 6 key points here</t>
  </si>
  <si>
    <t>Steady INFRA Availability with July at 99.81%.</t>
  </si>
  <si>
    <t>CSAT maintained at 4.54.</t>
  </si>
  <si>
    <t>Change success at 99% in July.</t>
  </si>
  <si>
    <t>No Major Incidents reported in May &amp; June</t>
  </si>
  <si>
    <t>Last 6 months' average</t>
  </si>
  <si>
    <t>Ageing by Ticket Type / Assignment Group / Bucket</t>
  </si>
  <si>
    <t>Hold Reasons</t>
  </si>
  <si>
    <t>Monthly Closure Trend</t>
  </si>
  <si>
    <t>Team Ticket Volumetrics</t>
  </si>
  <si>
    <t>Top 5 INC Categories</t>
  </si>
  <si>
    <t>Top 5 SR Categories</t>
  </si>
  <si>
    <t>Service Desk Support Volumetrics for the reporting month</t>
  </si>
  <si>
    <t>Ticket_Type</t>
  </si>
  <si>
    <t>Assignment_Group</t>
  </si>
  <si>
    <t>Age_Bucket</t>
  </si>
  <si>
    <t>Count</t>
  </si>
  <si>
    <t>Hold_Reason</t>
  </si>
  <si>
    <t>Share_Pct</t>
  </si>
  <si>
    <t>Definition</t>
  </si>
  <si>
    <t>Incidents</t>
  </si>
  <si>
    <t>SCTASK</t>
  </si>
  <si>
    <t>Group</t>
  </si>
  <si>
    <t>INC Count</t>
  </si>
  <si>
    <t>SR Count</t>
  </si>
  <si>
    <t>INC Category</t>
  </si>
  <si>
    <t>SR Category</t>
  </si>
  <si>
    <t>EndPoint Devices</t>
  </si>
  <si>
    <t>Users</t>
  </si>
  <si>
    <t>Tickets</t>
  </si>
  <si>
    <t>Calls</t>
  </si>
  <si>
    <t>Emails</t>
  </si>
  <si>
    <t>Notifications</t>
  </si>
  <si>
    <t>Total</t>
  </si>
  <si>
    <t>Incident</t>
  </si>
  <si>
    <t>DH - IT Networks</t>
  </si>
  <si>
    <t>≤ 2</t>
  </si>
  <si>
    <t>User dependency</t>
  </si>
  <si>
    <t>Tickets ON HOLD by USER request for observation.</t>
  </si>
  <si>
    <t>EUS</t>
  </si>
  <si>
    <t>Monitoring Alert</t>
  </si>
  <si>
    <t>Leaver Deactivation (FTE Account disable)</t>
  </si>
  <si>
    <t>10800+</t>
  </si>
  <si>
    <t>18300+</t>
  </si>
  <si>
    <t>Vendor dependency</t>
  </si>
  <si>
    <t>Response awaited from Principal OEM, support Ticket raised.</t>
  </si>
  <si>
    <t>Infra</t>
  </si>
  <si>
    <t>SOC</t>
  </si>
  <si>
    <t>Consultant Outsource Account (extend disable or create FTC)</t>
  </si>
  <si>
    <t>Late assignment</t>
  </si>
  <si>
    <t>Ticket was assigned after 6 month by DHH Application team</t>
  </si>
  <si>
    <t>Security</t>
  </si>
  <si>
    <t>Email</t>
  </si>
  <si>
    <t>Distribution Group Services (add remove members or create DL)</t>
  </si>
  <si>
    <t>Onsite dependency</t>
  </si>
  <si>
    <t>Awaiting Service validation by onsite support team.</t>
  </si>
  <si>
    <t>Service Desk</t>
  </si>
  <si>
    <t>Account Locked</t>
  </si>
  <si>
    <t>Shared Folder Management</t>
  </si>
  <si>
    <t>20-30</t>
  </si>
  <si>
    <t>DH Security Team</t>
  </si>
  <si>
    <t>Awaiting DHIS team action.</t>
  </si>
  <si>
    <t>Grand Total</t>
  </si>
  <si>
    <t>Shared Folder</t>
  </si>
  <si>
    <t>Shared Mailbox Management</t>
  </si>
  <si>
    <t>≥ 90</t>
  </si>
  <si>
    <t>Change dependency</t>
  </si>
  <si>
    <t>83% are server decommissioning; remaining related to commissioning and network activity.</t>
  </si>
  <si>
    <t>Bulk Request</t>
  </si>
  <si>
    <t>Multiple TASK /Activity in single SR, Majority related to vulnerability remediation.</t>
  </si>
  <si>
    <t>DH - IT Cloud Ops</t>
  </si>
  <si>
    <t>DH - IT Wintel &amp; DC Ops</t>
  </si>
  <si>
    <t>DH - IT Backup &amp; Storage</t>
  </si>
  <si>
    <t>Techhub Service Desk Team</t>
  </si>
  <si>
    <t>DH - IT ADMM</t>
  </si>
  <si>
    <t>DHHQ - Site Support</t>
  </si>
  <si>
    <t>DHGS - Site Support</t>
  </si>
  <si>
    <t>DH - IT Security</t>
  </si>
  <si>
    <t>≥ 30</t>
  </si>
  <si>
    <t>≥ 60</t>
  </si>
  <si>
    <t>DH - IT SharePoint &amp; Web Apps</t>
  </si>
  <si>
    <t>DH - IT UNIX</t>
  </si>
  <si>
    <t>Average Interactions per Month | Service Desk Volume</t>
  </si>
  <si>
    <t>Autonomous Service Desk Maturity Index</t>
  </si>
  <si>
    <t>Automation Use Cases | Due Date: 31 Dec 2026</t>
  </si>
  <si>
    <t>Automation Summary</t>
  </si>
  <si>
    <t>Active Directory Hygiene &amp; Clean ups</t>
  </si>
  <si>
    <t>Particulars</t>
  </si>
  <si>
    <t>Achieved</t>
  </si>
  <si>
    <t>Due Date</t>
  </si>
  <si>
    <t>Status</t>
  </si>
  <si>
    <t>Type</t>
  </si>
  <si>
    <t>Identified</t>
  </si>
  <si>
    <t>Active</t>
  </si>
  <si>
    <t>Planned</t>
  </si>
  <si>
    <t>Completion 
Target (~70%)</t>
  </si>
  <si>
    <t>TechHub</t>
  </si>
  <si>
    <t>Automation</t>
  </si>
  <si>
    <t>Total Use Cases
Deployed</t>
  </si>
  <si>
    <t>Tickets
Automated</t>
  </si>
  <si>
    <t>Overall SOPs
Automated</t>
  </si>
  <si>
    <t>Use Cases 
Live</t>
  </si>
  <si>
    <t>Licenses
Released</t>
  </si>
  <si>
    <t>Mailbox Policies
Applied</t>
  </si>
  <si>
    <t>Stale Items
Disabled</t>
  </si>
  <si>
    <t>Ahead of Schedule</t>
  </si>
  <si>
    <t>InfraOps</t>
  </si>
  <si>
    <t>Insert all available data here</t>
  </si>
  <si>
    <t>SPE-F1</t>
  </si>
  <si>
    <t>Computers</t>
  </si>
  <si>
    <t>SecOps</t>
  </si>
  <si>
    <t>SPE-E5</t>
  </si>
  <si>
    <t>User Accounts</t>
  </si>
  <si>
    <t>MS-E7</t>
  </si>
  <si>
    <t xml:space="preserve">Total Monthly Interactions </t>
  </si>
  <si>
    <t>SRs processed by Automation</t>
  </si>
  <si>
    <t>SRs processed by TechHub</t>
  </si>
  <si>
    <t>Automation Achieved (approx.)</t>
  </si>
  <si>
    <t>Monthly Vulnerability Mitigation Progress Trend 
(for Critical+High+Medium)</t>
  </si>
  <si>
    <t>Total Vulnerabilities</t>
  </si>
  <si>
    <t>Category</t>
  </si>
  <si>
    <t>Vulnerability Type</t>
  </si>
  <si>
    <t>Top Infra Contributors</t>
  </si>
  <si>
    <t>Top App_Dependent Contributors</t>
  </si>
  <si>
    <t>Vulnerability Status</t>
  </si>
  <si>
    <r>
      <t>Open Vulnerabilities
(Infra + App Dependent)</t>
    </r>
    <r>
      <rPr>
        <b/>
        <sz val="12"/>
        <color rgb="FF000000"/>
        <rFont val="Calibri"/>
        <family val="2"/>
      </rPr>
      <t xml:space="preserve">
Total - [252K]
&gt;30 Days - [184K]
(</t>
    </r>
    <r>
      <rPr>
        <b/>
        <i/>
        <sz val="12"/>
        <color rgb="FF000000"/>
        <rFont val="Calibri"/>
        <family val="2"/>
      </rPr>
      <t>~25K exclusions,cleanup  approved. Qualys is creating rules)</t>
    </r>
    <r>
      <rPr>
        <b/>
        <sz val="12"/>
        <color rgb="FF000000"/>
        <rFont val="Calibri"/>
        <family val="2"/>
      </rPr>
      <t xml:space="preserve">
0-30 Days - [68K]</t>
    </r>
  </si>
  <si>
    <r>
      <t>Windows</t>
    </r>
    <r>
      <rPr>
        <b/>
        <sz val="12"/>
        <color rgb="FF000000"/>
        <rFont val="Calibri"/>
        <family val="2"/>
      </rPr>
      <t xml:space="preserve">
Total - [208K]</t>
    </r>
  </si>
  <si>
    <r>
      <t xml:space="preserve">Servers Vulnerabilities Count
[Infra - </t>
    </r>
    <r>
      <rPr>
        <b/>
        <sz val="12"/>
        <color rgb="FF000000"/>
        <rFont val="Calibri"/>
        <family val="2"/>
      </rPr>
      <t>19K</t>
    </r>
    <r>
      <rPr>
        <sz val="12"/>
        <color rgb="FF000000"/>
        <rFont val="Calibri"/>
        <family val="2"/>
      </rPr>
      <t xml:space="preserve">]  [App Dependent - </t>
    </r>
    <r>
      <rPr>
        <b/>
        <sz val="12"/>
        <color rgb="FF000000"/>
        <rFont val="Calibri"/>
        <family val="2"/>
      </rPr>
      <t>18K</t>
    </r>
    <r>
      <rPr>
        <sz val="12"/>
        <color rgb="FF000000"/>
        <rFont val="Calibri"/>
        <family val="2"/>
      </rPr>
      <t xml:space="preserve">]  [Total - </t>
    </r>
    <r>
      <rPr>
        <b/>
        <sz val="12"/>
        <color rgb="FF000000"/>
        <rFont val="Calibri"/>
        <family val="2"/>
      </rPr>
      <t>37K</t>
    </r>
    <r>
      <rPr>
        <sz val="12"/>
        <color rgb="FF000000"/>
        <rFont val="Calibri"/>
        <family val="2"/>
      </rPr>
      <t>]</t>
    </r>
  </si>
  <si>
    <t>Windows OS Products</t>
  </si>
  <si>
    <t>8.3K</t>
  </si>
  <si>
    <t>Office</t>
  </si>
  <si>
    <t>1.7K</t>
  </si>
  <si>
    <t>Vulnerabilities Fixed</t>
  </si>
  <si>
    <t> </t>
  </si>
  <si>
    <t>Chrome</t>
  </si>
  <si>
    <t>3.5K</t>
  </si>
  <si>
    <t>.net framework</t>
  </si>
  <si>
    <t>1.4K</t>
  </si>
  <si>
    <t>Open Vulnerabilities (&gt;30 Days)</t>
  </si>
  <si>
    <t>Edge_chromium</t>
  </si>
  <si>
    <t>2.0K</t>
  </si>
  <si>
    <t>.net</t>
  </si>
  <si>
    <t>New Vulnerabilities</t>
  </si>
  <si>
    <t>Firefox</t>
  </si>
  <si>
    <t>SQL server</t>
  </si>
  <si>
    <t>IE</t>
  </si>
  <si>
    <t>7-zip</t>
  </si>
  <si>
    <r>
      <t xml:space="preserve">Client Vulnerabilities Count
[Infra - </t>
    </r>
    <r>
      <rPr>
        <b/>
        <sz val="12"/>
        <color rgb="FF000000"/>
        <rFont val="Calibri"/>
        <family val="2"/>
      </rPr>
      <t>97K</t>
    </r>
    <r>
      <rPr>
        <sz val="12"/>
        <color rgb="FF000000"/>
        <rFont val="Calibri"/>
        <family val="2"/>
      </rPr>
      <t xml:space="preserve">]  [App Dependent - </t>
    </r>
    <r>
      <rPr>
        <b/>
        <sz val="12"/>
        <color rgb="FF000000"/>
        <rFont val="Calibri"/>
        <family val="2"/>
      </rPr>
      <t>74K</t>
    </r>
    <r>
      <rPr>
        <sz val="12"/>
        <color rgb="FF000000"/>
        <rFont val="Calibri"/>
        <family val="2"/>
      </rPr>
      <t xml:space="preserve">]  [Total - </t>
    </r>
    <r>
      <rPr>
        <b/>
        <sz val="12"/>
        <color rgb="FF000000"/>
        <rFont val="Calibri"/>
        <family val="2"/>
      </rPr>
      <t>171K</t>
    </r>
    <r>
      <rPr>
        <sz val="12"/>
        <color rgb="FF000000"/>
        <rFont val="Calibri"/>
        <family val="2"/>
      </rPr>
      <t>]</t>
    </r>
  </si>
  <si>
    <t>57K</t>
  </si>
  <si>
    <t>14.7K</t>
  </si>
  <si>
    <t>27K</t>
  </si>
  <si>
    <t>4.6K</t>
  </si>
  <si>
    <t>Java</t>
  </si>
  <si>
    <t>5.8K</t>
  </si>
  <si>
    <t>Forticlient</t>
  </si>
  <si>
    <t>5.6K</t>
  </si>
  <si>
    <t>.net_framework</t>
  </si>
  <si>
    <t>7.2K</t>
  </si>
  <si>
    <t>Notepad</t>
  </si>
  <si>
    <t>3.1K</t>
  </si>
  <si>
    <t>7.4K</t>
  </si>
  <si>
    <r>
      <t>Application Dependent Vulnerabilities Count
[</t>
    </r>
    <r>
      <rPr>
        <b/>
        <sz val="12"/>
        <color rgb="FF000000"/>
        <rFont val="Calibri"/>
        <family val="2"/>
      </rPr>
      <t>92K</t>
    </r>
    <r>
      <rPr>
        <sz val="12"/>
        <color rgb="FF000000"/>
        <rFont val="Calibri"/>
        <family val="2"/>
      </rPr>
      <t>]</t>
    </r>
  </si>
  <si>
    <r>
      <t>Non-Windows</t>
    </r>
    <r>
      <rPr>
        <b/>
        <sz val="12"/>
        <color rgb="FF000000"/>
        <rFont val="Calibri"/>
        <family val="2"/>
      </rPr>
      <t xml:space="preserve">
Total - [44K]</t>
    </r>
  </si>
  <si>
    <r>
      <t xml:space="preserve">Linux Servers Vulnerabilities Count
[Infra - </t>
    </r>
    <r>
      <rPr>
        <b/>
        <sz val="12"/>
        <color rgb="FF000000"/>
        <rFont val="Calibri"/>
        <family val="2"/>
      </rPr>
      <t>5.7K</t>
    </r>
    <r>
      <rPr>
        <sz val="12"/>
        <color rgb="FF000000"/>
        <rFont val="Calibri"/>
        <family val="2"/>
      </rPr>
      <t xml:space="preserve">]  [App Dependent - </t>
    </r>
    <r>
      <rPr>
        <b/>
        <sz val="12"/>
        <color rgb="FF000000"/>
        <rFont val="Calibri"/>
        <family val="2"/>
      </rPr>
      <t>1.1K</t>
    </r>
    <r>
      <rPr>
        <sz val="12"/>
        <color rgb="FF000000"/>
        <rFont val="Calibri"/>
        <family val="2"/>
      </rPr>
      <t xml:space="preserve">]  [Total - </t>
    </r>
    <r>
      <rPr>
        <b/>
        <sz val="12"/>
        <color rgb="FF000000"/>
        <rFont val="Calibri"/>
        <family val="2"/>
      </rPr>
      <t>6.8K</t>
    </r>
    <r>
      <rPr>
        <sz val="12"/>
        <color rgb="FF000000"/>
        <rFont val="Calibri"/>
        <family val="2"/>
      </rPr>
      <t>]</t>
    </r>
  </si>
  <si>
    <t>Kernel</t>
  </si>
  <si>
    <t>2.5K</t>
  </si>
  <si>
    <t>python3</t>
  </si>
  <si>
    <t>Vim</t>
  </si>
  <si>
    <t>openssl</t>
  </si>
  <si>
    <t>libxml2</t>
  </si>
  <si>
    <t>samba</t>
  </si>
  <si>
    <t>glibc</t>
  </si>
  <si>
    <t xml:space="preserve">Java  </t>
  </si>
  <si>
    <t>glib2</t>
  </si>
  <si>
    <t>Openjdk</t>
  </si>
  <si>
    <r>
      <t xml:space="preserve">Network/Storage/Database/SharePoint/ADMM/Others
[Infra - </t>
    </r>
    <r>
      <rPr>
        <b/>
        <sz val="12"/>
        <color rgb="FF000000"/>
        <rFont val="Calibri"/>
        <family val="2"/>
      </rPr>
      <t>38.3K</t>
    </r>
    <r>
      <rPr>
        <sz val="12"/>
        <color rgb="FF000000"/>
        <rFont val="Calibri"/>
        <family val="2"/>
      </rPr>
      <t xml:space="preserve">]  [App Dependent - </t>
    </r>
    <r>
      <rPr>
        <b/>
        <sz val="12"/>
        <color rgb="FF000000"/>
        <rFont val="Calibri"/>
        <family val="2"/>
      </rPr>
      <t>1.5K</t>
    </r>
    <r>
      <rPr>
        <sz val="12"/>
        <color rgb="FF000000"/>
        <rFont val="Calibri"/>
        <family val="2"/>
      </rPr>
      <t xml:space="preserve">]  [Total - </t>
    </r>
    <r>
      <rPr>
        <b/>
        <sz val="12"/>
        <color rgb="FF000000"/>
        <rFont val="Calibri"/>
        <family val="2"/>
      </rPr>
      <t>37.4K</t>
    </r>
    <r>
      <rPr>
        <sz val="12"/>
        <color rgb="FF000000"/>
        <rFont val="Calibri"/>
        <family val="2"/>
      </rPr>
      <t>]</t>
    </r>
  </si>
  <si>
    <t>Openssh</t>
  </si>
  <si>
    <t>8.0K</t>
  </si>
  <si>
    <t>httpserver</t>
  </si>
  <si>
    <t>JunOS</t>
  </si>
  <si>
    <t>2.1K</t>
  </si>
  <si>
    <t>FortiOS</t>
  </si>
  <si>
    <t>tomcat</t>
  </si>
  <si>
    <t>IOS_xe</t>
  </si>
  <si>
    <t>aos</t>
  </si>
  <si>
    <t xml:space="preserve">IOS </t>
  </si>
  <si>
    <r>
      <t>Application Dependent Vulnerabilities Count
[</t>
    </r>
    <r>
      <rPr>
        <b/>
        <sz val="12"/>
        <color rgb="FF000000"/>
        <rFont val="Calibri"/>
        <family val="2"/>
      </rPr>
      <t>2.6K</t>
    </r>
    <r>
      <rPr>
        <sz val="12"/>
        <color rgb="FF000000"/>
        <rFont val="Calibri"/>
        <family val="2"/>
      </rPr>
      <t>]</t>
    </r>
  </si>
  <si>
    <t xml:space="preserve">Summary </t>
  </si>
  <si>
    <t>Last 30 Days Risk Closure</t>
  </si>
  <si>
    <t>Risks with No Target Date</t>
  </si>
  <si>
    <t>Requires Attention</t>
  </si>
  <si>
    <t>Overdue Risk Summary</t>
  </si>
  <si>
    <t>Dependency</t>
  </si>
  <si>
    <t>Entity</t>
  </si>
  <si>
    <t>Data_Quality</t>
  </si>
  <si>
    <t>Risk_Number</t>
  </si>
  <si>
    <t>Risk_Name</t>
  </si>
  <si>
    <t>Risk_Description</t>
  </si>
  <si>
    <t>Potential_Impact</t>
  </si>
  <si>
    <t>Sub_Entity</t>
  </si>
  <si>
    <t>Expected_Date_Of_Closure</t>
  </si>
  <si>
    <t>Action_Plan</t>
  </si>
  <si>
    <t>Accountability</t>
  </si>
  <si>
    <t>Owner</t>
  </si>
  <si>
    <t>Metric</t>
  </si>
  <si>
    <t>Value</t>
  </si>
  <si>
    <t>Open</t>
  </si>
  <si>
    <t>Project Dependency</t>
  </si>
  <si>
    <t>DHH</t>
  </si>
  <si>
    <t>Explicit label</t>
  </si>
  <si>
    <t>DHHQ</t>
  </si>
  <si>
    <t>DHAM</t>
  </si>
  <si>
    <t>DHHQ-15</t>
  </si>
  <si>
    <t>Vulnerabilities for ESXI Platforms onf VMWARE and Vxrail</t>
  </si>
  <si>
    <t>Esxi Platform Vulnerabilities are reported on VXRAIL and Standalone Esxi hosts</t>
  </si>
  <si>
    <t>HIGH</t>
  </si>
  <si>
    <t>ATS</t>
  </si>
  <si>
    <t>1. EXSI Platforms to be upgraded to the versions which aren’t vulnerable. 2. Wintel is preparing the action plan with vendor CDA 3. Broadcom License consolidation dependency is there</t>
  </si>
  <si>
    <t>Murtuza Sathaliya</t>
  </si>
  <si>
    <t>Mathew Sheath</t>
  </si>
  <si>
    <t>Overdue Risk Count as on 26 Aug</t>
  </si>
  <si>
    <t>Closed</t>
  </si>
  <si>
    <t>Vendor Dependency</t>
  </si>
  <si>
    <t>DHE</t>
  </si>
  <si>
    <t>DHHQ-09</t>
  </si>
  <si>
    <t>IMPZ</t>
  </si>
  <si>
    <t>VMWARE license dependency related</t>
  </si>
  <si>
    <t>New Risks</t>
  </si>
  <si>
    <t>Entity Dependency</t>
  </si>
  <si>
    <t>Explicit label; percent visually truncated but count/total gives 8.33%</t>
  </si>
  <si>
    <t>DHGS</t>
  </si>
  <si>
    <t>DHHQ-11</t>
  </si>
  <si>
    <t>DPR</t>
  </si>
  <si>
    <t>Entity dependency related</t>
  </si>
  <si>
    <t>Overdue</t>
  </si>
  <si>
    <t>DHHQ-12</t>
  </si>
  <si>
    <t>GV</t>
  </si>
  <si>
    <t>DHRE-02</t>
  </si>
  <si>
    <t>Unplanned Power and Cabling outages at NSO DataCenter</t>
  </si>
  <si>
    <t>Due to ongoing multiple site refresh activities at NSO, IT is facing multiple unplanned service outages. As NSO is a Data Center, the outages are getting extended to all NSO hosted sites and critical applications</t>
  </si>
  <si>
    <t>CRITICAL</t>
  </si>
  <si>
    <t>DHRE</t>
  </si>
  <si>
    <t>Nakheel</t>
  </si>
  <si>
    <t>Multiple MIs have occurred due to unplanned power and cabling activities at the site. Entity has confirmed that renovation works are to be completed by Feb 2026. Date revised as per extension work update</t>
  </si>
  <si>
    <t>Praseetha Mohan</t>
  </si>
  <si>
    <t>Vipin Aggarwal</t>
  </si>
  <si>
    <t>Roadmap Activities</t>
  </si>
  <si>
    <t>Workstream</t>
  </si>
  <si>
    <t>Activity</t>
  </si>
  <si>
    <t>Start_Quarter</t>
  </si>
  <si>
    <t>End_Quarter</t>
  </si>
  <si>
    <t>Automation Enhancement</t>
  </si>
  <si>
    <t>Existing Automation Review</t>
  </si>
  <si>
    <t>Q2 2026</t>
  </si>
  <si>
    <t>SolarWinds Integration</t>
  </si>
  <si>
    <t>Standardize workflows, orchestration across platform</t>
  </si>
  <si>
    <t>Q3 2026</t>
  </si>
  <si>
    <t>Q1 2027</t>
  </si>
  <si>
    <t>SNOW Integration</t>
  </si>
  <si>
    <t>New Automation Use Cases</t>
  </si>
  <si>
    <t>New Use Case Identification, Review, Feasibility and Deployment</t>
  </si>
  <si>
    <t>New Automation Use case development</t>
  </si>
  <si>
    <t>Automation based on trends, events, threshold, incident and requests</t>
  </si>
  <si>
    <t>Q4 2026</t>
  </si>
  <si>
    <t>Tools + AIOps</t>
  </si>
  <si>
    <t>Alert Reduction on Solar Wind ITOM TOOL using AI capability</t>
  </si>
  <si>
    <t>Use Case Development</t>
  </si>
  <si>
    <t>Gen AI L2/L2 Ops</t>
  </si>
  <si>
    <t>AI Team Onboarding</t>
  </si>
  <si>
    <t>AI Use case identification and Feasibility</t>
  </si>
  <si>
    <t>Gen AI powered L2 operations for troubleshooting and ticket handling</t>
  </si>
  <si>
    <t>AI Assisted Incident summarization and RCA</t>
  </si>
  <si>
    <t>Automated Diagnostics</t>
  </si>
  <si>
    <t>Anomaly detections</t>
  </si>
  <si>
    <t>Agentic AI</t>
  </si>
  <si>
    <t>Evaluation, feasibility, development and deployment of one or two use cases</t>
  </si>
  <si>
    <t>Chatbot Use case</t>
  </si>
  <si>
    <t>Knowledge base use case</t>
  </si>
  <si>
    <t>Incident Resolution</t>
  </si>
  <si>
    <t>Service Request fulfillment</t>
  </si>
  <si>
    <t>Color Schema</t>
  </si>
  <si>
    <t>General</t>
  </si>
  <si>
    <t>Input</t>
  </si>
  <si>
    <t>Purpose</t>
  </si>
  <si>
    <t>Primary</t>
  </si>
  <si>
    <t>Hover Darken %</t>
  </si>
  <si>
    <t>Active Darken %</t>
  </si>
  <si>
    <t>Lighten %</t>
  </si>
  <si>
    <t>Border Lighten %</t>
  </si>
  <si>
    <t>Disabled Opacity %</t>
  </si>
  <si>
    <t>Manual Input</t>
  </si>
  <si>
    <t>Need to change everytime we need to change color schema</t>
  </si>
  <si>
    <t>Color Shade Calculation</t>
  </si>
  <si>
    <t>Calculation Settings/ Percentage</t>
  </si>
  <si>
    <t>Primary Color</t>
  </si>
  <si>
    <t>Main brand/action color</t>
  </si>
  <si>
    <t>#E31837</t>
  </si>
  <si>
    <t>Secondary Color</t>
  </si>
  <si>
    <t>Secondary buttons, supporting elements</t>
  </si>
  <si>
    <t>#0A0838</t>
  </si>
  <si>
    <t>Accent Color</t>
  </si>
  <si>
    <t>Highlights, selected states, badges</t>
  </si>
  <si>
    <t>#F8B4A3</t>
  </si>
  <si>
    <t>Page Background</t>
  </si>
  <si>
    <t>Overall page background</t>
  </si>
  <si>
    <t>#FFFFFF</t>
  </si>
  <si>
    <t>Surface / Card Background</t>
  </si>
  <si>
    <t>Cards, panels, modals</t>
  </si>
  <si>
    <t>#F6F2EA</t>
  </si>
  <si>
    <t>Primary Text</t>
  </si>
  <si>
    <t>Headings and normal text</t>
  </si>
  <si>
    <t>#29251D</t>
  </si>
  <si>
    <t>Secondary Text</t>
  </si>
  <si>
    <t>Labels, descriptions, muted text</t>
  </si>
  <si>
    <t>#4D4D4F</t>
  </si>
  <si>
    <t>Border / Divider</t>
  </si>
  <si>
    <t>Borders, separators, input outlines</t>
  </si>
  <si>
    <t>#E5DFD3</t>
  </si>
  <si>
    <t>Success messages/status</t>
  </si>
  <si>
    <t>#2E7D32</t>
  </si>
  <si>
    <t>Warning</t>
  </si>
  <si>
    <t>Warning status</t>
  </si>
  <si>
    <t>#B54708</t>
  </si>
  <si>
    <t>Error / Danger</t>
  </si>
  <si>
    <t>Error/delete/critical status</t>
  </si>
  <si>
    <t>#B42318</t>
  </si>
  <si>
    <t>Info</t>
  </si>
  <si>
    <t>Information/status messages</t>
  </si>
  <si>
    <t>Purpose / When to Use</t>
  </si>
  <si>
    <t>Font 
Color</t>
  </si>
  <si>
    <t>Fill 
Color</t>
  </si>
  <si>
    <t>Border 
Color</t>
  </si>
  <si>
    <t>Default or neutral status where no specific workflow condition applies. Can also be used for informational or uncategorized items.</t>
  </si>
  <si>
    <t>#000000</t>
  </si>
  <si>
    <t>The activity, task, issue, or request has been completed, resolved, cancelled, or otherwise requires no further action.</t>
  </si>
  <si>
    <t>#2E5F13</t>
  </si>
  <si>
    <t>#D1EED0</t>
  </si>
  <si>
    <t>Ongoing / In Progress</t>
  </si>
  <si>
    <t>Work has started and is currently being actively progressed. The item is proceeding normally and is not presently blocked.</t>
  </si>
  <si>
    <t>#8D5C1A</t>
  </si>
  <si>
    <t>#F8EDA4</t>
  </si>
  <si>
    <t>The item is active and requires action, but work has either not yet started or has not been formally moved into an in-progress state.</t>
  </si>
  <si>
    <t>#3A59A4</t>
  </si>
  <si>
    <t>#E1EAF6</t>
  </si>
  <si>
    <t>On-hold</t>
  </si>
  <si>
    <t>Work has been temporarily paused due to a dependency, approval, resource constraint, customer input, or another known reason. Work is expected to resume later.</t>
  </si>
  <si>
    <t>#A5A940</t>
  </si>
  <si>
    <t>#FDFFD0</t>
  </si>
  <si>
    <t>Attention</t>
  </si>
  <si>
    <t>The item requires review, intervention, follow-up, or heightened monitoring. It may still be on schedule but has a concern, risk, dependency, or action requiring attention.</t>
  </si>
  <si>
    <t>#C47135</t>
  </si>
  <si>
    <t>#F5E5D7</t>
  </si>
  <si>
    <t>Delayed</t>
  </si>
  <si>
    <t>The item has missed, or is expected to miss, its planned milestone, target date, SLA, or committed delivery timeline and requires corrective action.</t>
  </si>
  <si>
    <t>#872213</t>
  </si>
  <si>
    <t>#F2CACE</t>
  </si>
  <si>
    <t>Portfolio Summary</t>
  </si>
  <si>
    <t>Qualys Patch Management - Project Status</t>
  </si>
  <si>
    <t>Project Summary</t>
  </si>
  <si>
    <t>Named Task List</t>
  </si>
  <si>
    <t>Source Note</t>
  </si>
  <si>
    <t>Projects</t>
  </si>
  <si>
    <t>No. Of Projects</t>
  </si>
  <si>
    <t>Reporting_Month</t>
  </si>
  <si>
    <t>Completion_Pct</t>
  </si>
  <si>
    <t>Completed_Task_Count</t>
  </si>
  <si>
    <t>Ongoing_Task_Count</t>
  </si>
  <si>
    <t>Plan_Start_Date</t>
  </si>
  <si>
    <t>Plan_End_Date</t>
  </si>
  <si>
    <t>Task</t>
  </si>
  <si>
    <t>Task_List_Position</t>
  </si>
  <si>
    <t>Note</t>
  </si>
  <si>
    <t>Closed Jul’26</t>
  </si>
  <si>
    <t>2026-08</t>
  </si>
  <si>
    <t>Completed</t>
  </si>
  <si>
    <t>QGS topology and tagging planning</t>
  </si>
  <si>
    <t>22 tasks in flight across QGS, endpoints and servers; slide lists 13 named ongoing task lines.</t>
  </si>
  <si>
    <t>Work in Progress</t>
  </si>
  <si>
    <t>Initial PM high-level design</t>
  </si>
  <si>
    <t>Effort in Man days</t>
  </si>
  <si>
    <t>Demand meeting</t>
  </si>
  <si>
    <t>Demands</t>
  </si>
  <si>
    <t>No. Of Demands</t>
  </si>
  <si>
    <t>PM tagging workshop</t>
  </si>
  <si>
    <t>Closed in Jul’26</t>
  </si>
  <si>
    <t>Agent configuration profile - “PM setting”</t>
  </si>
  <si>
    <t>License settings</t>
  </si>
  <si>
    <t>Server health check script</t>
  </si>
  <si>
    <t>Ongoing</t>
  </si>
  <si>
    <t>QGS deployment and configuration</t>
  </si>
  <si>
    <t>Top Projects &amp; Demands Summary</t>
  </si>
  <si>
    <t>PM QGS and subnet mapping</t>
  </si>
  <si>
    <t>Project_Name</t>
  </si>
  <si>
    <t>Effort_Man_Days</t>
  </si>
  <si>
    <t>Estimated_Completion_Date</t>
  </si>
  <si>
    <t>EDR and network whitelisting</t>
  </si>
  <si>
    <t>Meydan Network Refresh</t>
  </si>
  <si>
    <t>Implementation is in progress</t>
  </si>
  <si>
    <t>QGS-based Windows endpoints - 3rd party jobs</t>
  </si>
  <si>
    <t>Meydan Voice Refresh</t>
  </si>
  <si>
    <t>QGS-based Windows UAT endpoints - OS jobs</t>
  </si>
  <si>
    <t>Qualys PM and ETM</t>
  </si>
  <si>
    <t>QGS-based Windows prod endpoints - OS jobs</t>
  </si>
  <si>
    <t>DPR Firewall &amp; Distribution Switches upgrade</t>
  </si>
  <si>
    <t>No-QGS Windows endpoints - 3rd party jobs</t>
  </si>
  <si>
    <t>Windows servers UAT - OS jobs</t>
  </si>
  <si>
    <t>Windows servers prod - OS jobs</t>
  </si>
  <si>
    <t>Windows servers - 3rd party jobs</t>
  </si>
  <si>
    <t>Linux servers - jobs</t>
  </si>
  <si>
    <t>Servers’ CAR library scripts</t>
  </si>
  <si>
    <t>Endpoints’ CAR library scripts</t>
  </si>
  <si>
    <t>Automation - License Savings</t>
  </si>
  <si>
    <t>CSI (Service Improvement)</t>
  </si>
  <si>
    <t>Reported Apr-Jul Category Totals</t>
  </si>
  <si>
    <t>Reported Total (USD Annual Savings)</t>
  </si>
  <si>
    <t>Saving_Type</t>
  </si>
  <si>
    <t>License_Type</t>
  </si>
  <si>
    <t>Licenses_Released</t>
  </si>
  <si>
    <t>Unit_Cost_USD_Per_Month</t>
  </si>
  <si>
    <t>Reported_Monthly_Saving_USD</t>
  </si>
  <si>
    <t>Reported_Annual_Saving_USD</t>
  </si>
  <si>
    <t>Calculated_Monthly_Saving_USD</t>
  </si>
  <si>
    <t>Calculated_Annual_Saving_USD</t>
  </si>
  <si>
    <t>Annual_Variance_USD</t>
  </si>
  <si>
    <t>Initiative</t>
  </si>
  <si>
    <t>Annual_Saving_USD</t>
  </si>
  <si>
    <t>Description</t>
  </si>
  <si>
    <t>Remarks</t>
  </si>
  <si>
    <t>Total_Apr_Jul_USD</t>
  </si>
  <si>
    <t>Total_Annual_Savings_USD</t>
  </si>
  <si>
    <t>License Cost Saved - E5..etc</t>
  </si>
  <si>
    <t>SIP - DDA SharePoint Site Storage Optimization, Automation</t>
  </si>
  <si>
    <t>Benefits - 1. Operational Efficiency: Streamlined DDA site storage and version management, reducing manual cleanup efforts. Site collection size optimized from 22 TB to 9 TB 2. Compliance Boosting: Reduced site risk level, with new data growth same site can be used for long period of time 3. Accuracy: Ensured precise identification and removal of redundant version files, with zero data loss 4. Cost saving: Reclaimed ~13 TB of storage, cost saving of $31200 per year</t>
  </si>
  <si>
    <t>SIP was presented in April'26 monthly deck and cost saving mentioned in slide. Domain - SharePoint</t>
  </si>
  <si>
    <t>License Details/count presented in monthly deck. Unit cost taken from internet market</t>
  </si>
  <si>
    <t>No SIP having cost saving</t>
  </si>
  <si>
    <t>Any savings approved &amp; Acknowledged by DH</t>
  </si>
  <si>
    <t>Apr-Jul Total</t>
  </si>
  <si>
    <t>MICROSOFT_365_E7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</si>
</sst>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19">
    <font>
      <sz val="11"/>
      <color theme="1"/>
      <name val="Calibri"/>
      <family val="2"/>
      <scheme val="minor"/>
    </font>
    <font>
      <sz val="11"/>
      <color theme="1"/>
      <name val="Calibri"/>
      <scheme val="minor"/>
    </font>
    <font>
      <sz val="11"/>
      <color theme="1"/>
      <name val="Calibri"/>
      <scheme val="minor"/>
    </font>
    <font>
      <b/>
      <sz val="11"/>
      <color theme="0"/>
      <name val="Calibri"/>
      <scheme val="minor"/>
    </font>
    <font>
      <b/>
      <sz val="11"/>
      <color theme="1"/>
      <name val="Calibri"/>
      <scheme val="minor"/>
    </font>
    <font>
      <sz val="11"/>
      <color theme="0"/>
      <name val="Calibri"/>
      <scheme val="minor"/>
    </font>
    <font>
      <b/>
      <sz val="11"/>
      <color theme="1"/>
      <name val="Calibri"/>
      <family val="2"/>
      <scheme val="minor"/>
    </font>
    <font>
      <sz val="11"/>
      <color rgb="FF3F3F76"/>
      <name val="Calibri"/>
      <scheme val="minor"/>
    </font>
    <font>
      <b/>
      <sz val="11"/>
      <color rgb="FF3F3F76"/>
      <name val="Calibri"/>
      <scheme val="minor"/>
    </font>
    <font>
      <sz val="11"/>
      <color rgb="FF000000"/>
      <name val="Carlito"/>
    </font>
    <font>
      <b/>
      <sz val="11"/>
      <name val="Carlito"/>
    </font>
    <font>
      <sz val="11"/>
      <name val="Carlito"/>
    </font>
    <font>
      <b/>
      <sz val="11"/>
      <color rgb="FFFFFFFF"/>
      <name val="Carlito"/>
    </font>
    <font>
      <b/>
      <sz val="11"/>
      <color rgb="FF9C6500"/>
      <name val="Carlito"/>
    </font>
    <font>
      <b/>
      <sz val="11"/>
      <color rgb="FF9C0006"/>
      <name val="Carlito"/>
    </font>
    <font>
      <b/>
      <sz val="12"/>
      <color rgb="FF000000"/>
      <name val="Calibri"/>
      <family val="2"/>
    </font>
    <font>
      <b/>
      <i/>
      <sz val="12"/>
      <color rgb="FF000000"/>
      <name val="Calibri"/>
      <family val="2"/>
    </font>
    <font>
      <sz val="12"/>
      <color rgb="FF000000"/>
      <name val="Calibri"/>
      <family val="2"/>
    </font>
    <font>
      <b/>
      <sz val="14"/>
      <color rgb="FFFFFFFF"/>
      <name val="Carlito"/>
    </font>
  </fonts>
  <fills count="34">
    <fill>
      <patternFill patternType="none"/>
    </fill>
    <fill>
      <patternFill patternType="gray125"/>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2"/>
        <bgColor indexed="64"/>
      </patternFill>
    </fill>
    <fill>
      <patternFill patternType="solid">
        <fgColor rgb="FFE7E6E6"/>
        <bgColor indexed="64"/>
      </patternFill>
    </fill>
    <fill>
      <patternFill patternType="solid">
        <fgColor rgb="FFFFCC99"/>
      </patternFill>
    </fill>
    <fill>
      <patternFill patternType="solid">
        <fgColor theme="5" tint="0.39997558519241921"/>
        <bgColor indexed="65"/>
      </patternFill>
    </fill>
    <fill>
      <patternFill patternType="solid">
        <fgColor theme="8" tint="0.39997558519241921"/>
        <bgColor indexed="65"/>
      </patternFill>
    </fill>
    <fill>
      <patternFill patternType="solid">
        <fgColor rgb="FFC0E6F5"/>
        <bgColor rgb="FFC0E6F5"/>
      </patternFill>
    </fill>
    <fill>
      <patternFill patternType="solid">
        <fgColor rgb="FFD9EAF7"/>
        <bgColor rgb="FF000000"/>
      </patternFill>
    </fill>
    <fill>
      <patternFill patternType="solid">
        <fgColor rgb="FF5B9BD5"/>
        <bgColor rgb="FF000000"/>
      </patternFill>
    </fill>
    <fill>
      <patternFill patternType="solid">
        <fgColor rgb="FFFFF2CC"/>
        <bgColor rgb="FFC0E6F5"/>
      </patternFill>
    </fill>
    <fill>
      <patternFill patternType="solid">
        <fgColor rgb="FFFFF2CC"/>
        <bgColor rgb="FF000000"/>
      </patternFill>
    </fill>
    <fill>
      <patternFill patternType="solid">
        <fgColor rgb="FFF4CCCC"/>
        <bgColor rgb="FFC0E6F5"/>
      </patternFill>
    </fill>
    <fill>
      <patternFill patternType="solid">
        <fgColor rgb="FFCBD3DE"/>
        <bgColor rgb="FF000000"/>
      </patternFill>
    </fill>
    <fill>
      <patternFill patternType="solid">
        <fgColor rgb="FFF2F2F2"/>
        <bgColor rgb="FF000000"/>
      </patternFill>
    </fill>
    <fill>
      <patternFill patternType="solid">
        <fgColor rgb="FF1F4E78"/>
        <bgColor rgb="FF000000"/>
      </patternFill>
    </fill>
  </fills>
  <borders count="12">
    <border>
      <left/>
      <right/>
      <top/>
      <bottom/>
      <diagonal/>
    </border>
    <border>
      <left style="thin">
        <color theme="2"/>
      </left>
      <right style="thin">
        <color theme="2"/>
      </right>
      <top style="thin">
        <color theme="2"/>
      </top>
      <bottom style="thin">
        <color theme="2"/>
      </bottom>
      <diagonal/>
    </border>
    <border>
      <left style="thin">
        <color theme="2"/>
      </left>
      <right/>
      <top style="thin">
        <color theme="2"/>
      </top>
      <bottom style="thin">
        <color theme="2"/>
      </bottom>
      <diagonal/>
    </border>
    <border>
      <left/>
      <right/>
      <top style="thin">
        <color theme="2"/>
      </top>
      <bottom style="thin">
        <color theme="2"/>
      </bottom>
      <diagonal/>
    </border>
    <border>
      <left/>
      <right style="thin">
        <color theme="2"/>
      </right>
      <top style="thin">
        <color theme="2"/>
      </top>
      <bottom style="thin">
        <color theme="2"/>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rgb="FF7F7F7F"/>
      </left>
      <right style="thin">
        <color rgb="FF7F7F7F"/>
      </right>
      <top style="thin">
        <color rgb="FF7F7F7F"/>
      </top>
      <bottom style="thin">
        <color rgb="FF7F7F7F"/>
      </bottom>
      <diagonal/>
    </border>
    <border>
      <left style="thin">
        <color theme="2" tint="-9.9978637043366805E-2"/>
      </left>
      <right style="thin">
        <color theme="2" tint="-9.9978637043366805E-2"/>
      </right>
      <top style="thin">
        <color theme="2" tint="-9.9978637043366805E-2"/>
      </top>
      <bottom/>
      <diagonal/>
    </border>
    <border>
      <left style="thin">
        <color theme="2" tint="-9.9978637043366805E-2"/>
      </left>
      <right style="thin">
        <color theme="2" tint="-9.9978637043366805E-2"/>
      </right>
      <top/>
      <bottom style="thin">
        <color theme="2" tint="-9.9978637043366805E-2"/>
      </bottom>
      <diagonal/>
    </border>
    <border>
      <left style="thin">
        <color rgb="FF44B3E1"/>
      </left>
      <right/>
      <top style="thin">
        <color rgb="FF44B3E1"/>
      </top>
      <bottom style="thin">
        <color rgb="FF44B3E1"/>
      </bottom>
      <diagonal/>
    </border>
    <border>
      <left/>
      <right/>
      <top style="thin">
        <color rgb="FF44B3E1"/>
      </top>
      <bottom style="thin">
        <color rgb="FF44B3E1"/>
      </bottom>
      <diagonal/>
    </border>
    <border>
      <left/>
      <right/>
      <top/>
      <bottom style="thin">
        <color rgb="FF44B3E1"/>
      </bottom>
      <diagonal/>
    </border>
  </borders>
  <cellStyleXfs count="22">
    <xf numFmtId="0" fontId="0" fillId="0" borderId="0"/>
    <xf numFmtId="0" fontId="5"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5"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5"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5"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5"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5"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7" fillId="22" borderId="6" applyNumberFormat="0" applyAlignment="0" applyProtection="0"/>
    <xf numFmtId="0" fontId="1" fillId="23" borderId="0" applyNumberFormat="0" applyBorder="0" applyAlignment="0" applyProtection="0"/>
    <xf numFmtId="0" fontId="1" fillId="24" borderId="0" applyNumberFormat="0" applyBorder="0" applyAlignment="0" applyProtection="0"/>
  </cellStyleXfs>
  <cellXfs count="127">
    <xf numFmtId="0" fontId="0" fillId="0" borderId="0" xfId="0"/>
    <xf numFmtId="0" fontId="4" fillId="4" borderId="1" xfId="3" applyFont="1" applyBorder="1" applyAlignment="1"/>
    <xf numFmtId="0" fontId="4" fillId="4" borderId="1" xfId="3" applyFont="1" applyBorder="1" applyAlignment="1">
      <alignment vertical="center"/>
    </xf>
    <xf numFmtId="10" fontId="2" fillId="3" borderId="1" xfId="2" applyNumberFormat="1" applyBorder="1" applyAlignment="1"/>
    <xf numFmtId="0" fontId="4" fillId="7" borderId="1" xfId="6" applyFont="1" applyBorder="1" applyAlignment="1"/>
    <xf numFmtId="2" fontId="2" fillId="6" borderId="1" xfId="5" applyNumberFormat="1" applyBorder="1" applyAlignment="1"/>
    <xf numFmtId="2" fontId="2" fillId="6" borderId="1" xfId="5" applyNumberFormat="1" applyBorder="1"/>
    <xf numFmtId="0" fontId="2" fillId="12" borderId="1" xfId="11" applyBorder="1"/>
    <xf numFmtId="0" fontId="2" fillId="13" borderId="1" xfId="12" applyBorder="1"/>
    <xf numFmtId="10" fontId="2" fillId="13" borderId="1" xfId="12" applyNumberFormat="1" applyBorder="1"/>
    <xf numFmtId="0" fontId="4" fillId="13" borderId="1" xfId="12" applyFont="1" applyBorder="1"/>
    <xf numFmtId="0" fontId="2" fillId="16" borderId="1" xfId="15" applyBorder="1"/>
    <xf numFmtId="1" fontId="2" fillId="15" borderId="1" xfId="14" applyNumberFormat="1" applyBorder="1"/>
    <xf numFmtId="17" fontId="2" fillId="16" borderId="1" xfId="15" applyNumberFormat="1" applyBorder="1"/>
    <xf numFmtId="1" fontId="2" fillId="18" borderId="1" xfId="17" applyNumberFormat="1" applyBorder="1"/>
    <xf numFmtId="0" fontId="2" fillId="19" borderId="1" xfId="18" applyBorder="1"/>
    <xf numFmtId="17" fontId="2" fillId="19" borderId="1" xfId="18" applyNumberFormat="1" applyBorder="1"/>
    <xf numFmtId="0" fontId="2" fillId="9" borderId="1" xfId="8" applyBorder="1"/>
    <xf numFmtId="0" fontId="4" fillId="16" borderId="1" xfId="15" applyFont="1" applyBorder="1"/>
    <xf numFmtId="0" fontId="4" fillId="19" borderId="1" xfId="18" applyFont="1" applyBorder="1"/>
    <xf numFmtId="0" fontId="4" fillId="10" borderId="1" xfId="9" applyFont="1" applyBorder="1"/>
    <xf numFmtId="17" fontId="2" fillId="4" borderId="1" xfId="3" applyNumberFormat="1" applyBorder="1" applyAlignment="1"/>
    <xf numFmtId="17" fontId="2" fillId="4" borderId="1" xfId="3" applyNumberFormat="1" applyBorder="1"/>
    <xf numFmtId="17" fontId="2" fillId="7" borderId="1" xfId="6" applyNumberFormat="1" applyBorder="1" applyAlignment="1"/>
    <xf numFmtId="17" fontId="2" fillId="7" borderId="1" xfId="6" applyNumberFormat="1" applyBorder="1"/>
    <xf numFmtId="17" fontId="2" fillId="13" borderId="1" xfId="12" applyNumberFormat="1" applyBorder="1"/>
    <xf numFmtId="0" fontId="6" fillId="20" borderId="5" xfId="0" applyFont="1" applyFill="1" applyBorder="1" applyAlignment="1">
      <alignment vertical="center"/>
    </xf>
    <xf numFmtId="0" fontId="6" fillId="0" borderId="5" xfId="0" applyFont="1" applyBorder="1"/>
    <xf numFmtId="0" fontId="0" fillId="0" borderId="5" xfId="0" applyBorder="1"/>
    <xf numFmtId="0" fontId="3" fillId="8" borderId="0" xfId="7" applyFont="1"/>
    <xf numFmtId="0" fontId="3" fillId="8" borderId="5" xfId="7" applyFont="1" applyBorder="1" applyAlignment="1">
      <alignment vertical="center"/>
    </xf>
    <xf numFmtId="0" fontId="3" fillId="8" borderId="5" xfId="7" applyFont="1" applyBorder="1" applyAlignment="1">
      <alignment vertical="center" wrapText="1"/>
    </xf>
    <xf numFmtId="0" fontId="6" fillId="21" borderId="5" xfId="0" applyFont="1" applyFill="1" applyBorder="1" applyAlignment="1">
      <alignment vertical="center"/>
    </xf>
    <xf numFmtId="0" fontId="6" fillId="0" borderId="5" xfId="0" applyFont="1" applyBorder="1" applyAlignment="1">
      <alignment vertical="center"/>
    </xf>
    <xf numFmtId="0" fontId="0" fillId="0" borderId="5" xfId="0" applyBorder="1" applyAlignment="1">
      <alignment vertical="center" wrapText="1"/>
    </xf>
    <xf numFmtId="0" fontId="0" fillId="0" borderId="5" xfId="0" applyBorder="1" applyAlignment="1">
      <alignment vertical="center"/>
    </xf>
    <xf numFmtId="0" fontId="7" fillId="22" borderId="5" xfId="19" applyBorder="1"/>
    <xf numFmtId="9" fontId="6" fillId="20" borderId="5" xfId="0" applyNumberFormat="1" applyFont="1" applyFill="1" applyBorder="1" applyAlignment="1">
      <alignment horizontal="center" vertical="center" wrapText="1"/>
    </xf>
    <xf numFmtId="0" fontId="8" fillId="22" borderId="6" xfId="19" applyFont="1" applyAlignment="1">
      <alignment vertical="center" wrapText="1"/>
    </xf>
    <xf numFmtId="0" fontId="7" fillId="22" borderId="6" xfId="19" applyAlignment="1">
      <alignment vertical="center" wrapText="1"/>
    </xf>
    <xf numFmtId="0" fontId="6" fillId="0" borderId="0" xfId="0" applyFont="1"/>
    <xf numFmtId="0" fontId="6" fillId="21" borderId="5" xfId="0" applyFont="1" applyFill="1" applyBorder="1" applyAlignment="1">
      <alignment vertical="center" wrapText="1"/>
    </xf>
    <xf numFmtId="0" fontId="0" fillId="0" borderId="5" xfId="0" applyBorder="1" applyAlignment="1">
      <alignment horizontal="center"/>
    </xf>
    <xf numFmtId="0" fontId="2" fillId="7" borderId="5" xfId="6" applyBorder="1"/>
    <xf numFmtId="0" fontId="2" fillId="6" borderId="5" xfId="5" applyBorder="1"/>
    <xf numFmtId="0" fontId="4" fillId="23" borderId="5" xfId="20" applyFont="1" applyBorder="1"/>
    <xf numFmtId="0" fontId="4" fillId="7" borderId="5" xfId="6" applyFont="1" applyBorder="1"/>
    <xf numFmtId="9" fontId="2" fillId="6" borderId="5" xfId="5" applyNumberFormat="1" applyBorder="1" applyAlignment="1">
      <alignment horizontal="center"/>
    </xf>
    <xf numFmtId="15" fontId="2" fillId="6" borderId="5" xfId="5" applyNumberFormat="1" applyBorder="1" applyAlignment="1">
      <alignment horizontal="center"/>
    </xf>
    <xf numFmtId="0" fontId="2" fillId="6" borderId="5" xfId="5" applyBorder="1" applyAlignment="1">
      <alignment horizontal="center"/>
    </xf>
    <xf numFmtId="0" fontId="4" fillId="7" borderId="5" xfId="6" applyFont="1" applyBorder="1" applyAlignment="1">
      <alignment horizontal="center"/>
    </xf>
    <xf numFmtId="0" fontId="2" fillId="6" borderId="5" xfId="5" applyBorder="1" applyAlignment="1">
      <alignment horizontal="center" vertical="center"/>
    </xf>
    <xf numFmtId="0" fontId="2" fillId="6" borderId="5" xfId="5" applyBorder="1" applyAlignment="1">
      <alignment vertical="center"/>
    </xf>
    <xf numFmtId="0" fontId="4" fillId="7" borderId="5" xfId="6" applyFont="1" applyBorder="1" applyAlignment="1">
      <alignment vertical="center"/>
    </xf>
    <xf numFmtId="0" fontId="4" fillId="7" borderId="5" xfId="6" applyFont="1" applyBorder="1" applyAlignment="1">
      <alignment vertical="center" wrapText="1"/>
    </xf>
    <xf numFmtId="0" fontId="4" fillId="23" borderId="5" xfId="20" applyFont="1" applyBorder="1" applyAlignment="1">
      <alignment vertical="center"/>
    </xf>
    <xf numFmtId="0" fontId="4" fillId="23" borderId="5" xfId="20" applyFont="1" applyBorder="1" applyAlignment="1">
      <alignment horizontal="center" vertical="center"/>
    </xf>
    <xf numFmtId="10" fontId="0" fillId="0" borderId="0" xfId="0" applyNumberFormat="1"/>
    <xf numFmtId="17" fontId="2" fillId="7" borderId="5" xfId="6" applyNumberFormat="1" applyBorder="1" applyAlignment="1"/>
    <xf numFmtId="17" fontId="2" fillId="7" borderId="5" xfId="6" applyNumberFormat="1" applyBorder="1"/>
    <xf numFmtId="17" fontId="2" fillId="7" borderId="7" xfId="6" applyNumberFormat="1" applyBorder="1" applyAlignment="1"/>
    <xf numFmtId="0" fontId="2" fillId="6" borderId="7" xfId="5" applyBorder="1"/>
    <xf numFmtId="10" fontId="4" fillId="23" borderId="5" xfId="20" applyNumberFormat="1" applyFont="1" applyBorder="1"/>
    <xf numFmtId="0" fontId="0" fillId="0" borderId="0" xfId="0" applyAlignment="1">
      <alignment horizontal="center" vertical="center"/>
    </xf>
    <xf numFmtId="0" fontId="4" fillId="7" borderId="5" xfId="6" applyFont="1" applyBorder="1" applyAlignment="1">
      <alignment horizontal="center" vertical="center" wrapText="1"/>
    </xf>
    <xf numFmtId="0" fontId="4" fillId="7" borderId="8" xfId="6" applyFont="1" applyBorder="1" applyAlignment="1">
      <alignment horizontal="center" vertical="center" wrapText="1"/>
    </xf>
    <xf numFmtId="0" fontId="4" fillId="7" borderId="8" xfId="6" applyFont="1" applyBorder="1" applyAlignment="1">
      <alignment horizontal="center" vertical="center"/>
    </xf>
    <xf numFmtId="0" fontId="10" fillId="26" borderId="0" xfId="0" applyFont="1" applyFill="1" applyAlignment="1">
      <alignment horizontal="center" vertical="center"/>
    </xf>
    <xf numFmtId="0" fontId="12" fillId="27" borderId="9" xfId="0" applyFont="1" applyFill="1" applyBorder="1" applyAlignment="1">
      <alignment horizontal="center" vertical="center" wrapText="1"/>
    </xf>
    <xf numFmtId="0" fontId="12" fillId="27" borderId="10" xfId="0" applyFont="1" applyFill="1" applyBorder="1" applyAlignment="1">
      <alignment horizontal="center" vertical="center" wrapText="1"/>
    </xf>
    <xf numFmtId="0" fontId="9" fillId="25" borderId="9" xfId="0" applyFont="1" applyFill="1" applyBorder="1" applyAlignment="1">
      <alignment horizontal="center" vertical="center" wrapText="1"/>
    </xf>
    <xf numFmtId="0" fontId="9" fillId="25" borderId="10" xfId="0" applyFont="1" applyFill="1" applyBorder="1" applyAlignment="1">
      <alignment horizontal="center" vertical="center" wrapText="1"/>
    </xf>
    <xf numFmtId="0" fontId="13" fillId="28" borderId="10" xfId="0" applyFont="1" applyFill="1" applyBorder="1" applyAlignment="1">
      <alignment horizontal="center" vertical="center" wrapText="1"/>
    </xf>
    <xf numFmtId="15" fontId="9" fillId="25" borderId="10" xfId="0" applyNumberFormat="1" applyFont="1" applyFill="1" applyBorder="1" applyAlignment="1">
      <alignment horizontal="center" vertical="center" wrapText="1"/>
    </xf>
    <xf numFmtId="0" fontId="9" fillId="0" borderId="9" xfId="0" applyFont="1" applyBorder="1" applyAlignment="1">
      <alignment horizontal="center" vertical="center" wrapText="1"/>
    </xf>
    <xf numFmtId="0" fontId="9" fillId="0" borderId="10" xfId="0" applyFont="1" applyBorder="1" applyAlignment="1">
      <alignment horizontal="center" vertical="center" wrapText="1"/>
    </xf>
    <xf numFmtId="0" fontId="13" fillId="29" borderId="10" xfId="0" applyFont="1" applyFill="1" applyBorder="1" applyAlignment="1">
      <alignment horizontal="center" vertical="center" wrapText="1"/>
    </xf>
    <xf numFmtId="15" fontId="9" fillId="0" borderId="10" xfId="0" applyNumberFormat="1" applyFont="1" applyBorder="1" applyAlignment="1">
      <alignment horizontal="center" vertical="center" wrapText="1"/>
    </xf>
    <xf numFmtId="0" fontId="14" fillId="30" borderId="10" xfId="0" applyFont="1" applyFill="1" applyBorder="1" applyAlignment="1">
      <alignment horizontal="center" vertical="center" wrapText="1"/>
    </xf>
    <xf numFmtId="0" fontId="6" fillId="0" borderId="0" xfId="0" applyFont="1" applyAlignment="1">
      <alignment horizontal="center" vertical="center"/>
    </xf>
    <xf numFmtId="0" fontId="11" fillId="0" borderId="0" xfId="0" applyFont="1" applyAlignment="1">
      <alignment horizontal="center" vertical="center"/>
    </xf>
    <xf numFmtId="15" fontId="9" fillId="25" borderId="9" xfId="0" applyNumberFormat="1" applyFont="1" applyFill="1" applyBorder="1" applyAlignment="1">
      <alignment horizontal="center" vertical="center" wrapText="1"/>
    </xf>
    <xf numFmtId="15" fontId="9" fillId="0" borderId="9" xfId="0" applyNumberFormat="1" applyFont="1" applyBorder="1" applyAlignment="1">
      <alignment horizontal="center" vertical="center" wrapText="1"/>
    </xf>
    <xf numFmtId="0" fontId="12" fillId="27" borderId="9" xfId="0" applyFont="1" applyFill="1" applyBorder="1" applyAlignment="1">
      <alignment wrapText="1"/>
    </xf>
    <xf numFmtId="0" fontId="12" fillId="27" borderId="10" xfId="0" applyFont="1" applyFill="1" applyBorder="1" applyAlignment="1">
      <alignment wrapText="1"/>
    </xf>
    <xf numFmtId="0" fontId="9" fillId="25" borderId="9" xfId="0" applyFont="1" applyFill="1" applyBorder="1" applyAlignment="1">
      <alignment wrapText="1"/>
    </xf>
    <xf numFmtId="0" fontId="9" fillId="25" borderId="10" xfId="0" applyFont="1" applyFill="1" applyBorder="1" applyAlignment="1">
      <alignment wrapText="1"/>
    </xf>
    <xf numFmtId="0" fontId="9" fillId="0" borderId="9" xfId="0" applyFont="1" applyBorder="1" applyAlignment="1">
      <alignment wrapText="1"/>
    </xf>
    <xf numFmtId="0" fontId="9" fillId="0" borderId="10" xfId="0" applyFont="1" applyBorder="1" applyAlignment="1">
      <alignment wrapText="1"/>
    </xf>
    <xf numFmtId="0" fontId="0" fillId="0" borderId="0" xfId="0" applyAlignment="1">
      <alignment horizontal="center" vertical="center" wrapText="1"/>
    </xf>
    <xf numFmtId="0" fontId="2" fillId="7" borderId="5" xfId="6" applyBorder="1" applyAlignment="1">
      <alignment vertical="center"/>
    </xf>
    <xf numFmtId="17" fontId="2" fillId="7" borderId="5" xfId="6" applyNumberFormat="1" applyBorder="1" applyAlignment="1">
      <alignment vertical="center"/>
    </xf>
    <xf numFmtId="0" fontId="2" fillId="7" borderId="5" xfId="6" applyBorder="1" applyAlignment="1">
      <alignment vertical="center" wrapText="1"/>
    </xf>
    <xf numFmtId="0" fontId="2" fillId="6" borderId="5" xfId="5" applyBorder="1" applyAlignment="1">
      <alignment vertical="center" wrapText="1"/>
    </xf>
    <xf numFmtId="0" fontId="15" fillId="31" borderId="5" xfId="0" applyFont="1" applyFill="1" applyBorder="1" applyAlignment="1">
      <alignment vertical="center"/>
    </xf>
    <xf numFmtId="0" fontId="17" fillId="32" borderId="5" xfId="0" applyFont="1" applyFill="1" applyBorder="1" applyAlignment="1">
      <alignment vertical="center"/>
    </xf>
    <xf numFmtId="16" fontId="9" fillId="0" borderId="10" xfId="0" applyNumberFormat="1" applyFont="1" applyBorder="1" applyAlignment="1">
      <alignment horizontal="center" vertical="center" wrapText="1"/>
    </xf>
    <xf numFmtId="16" fontId="9" fillId="25" borderId="10" xfId="0" applyNumberFormat="1" applyFont="1" applyFill="1" applyBorder="1" applyAlignment="1">
      <alignment horizontal="center" vertical="center" wrapText="1"/>
    </xf>
    <xf numFmtId="0" fontId="0" fillId="0" borderId="0" xfId="0" applyAlignment="1">
      <alignment horizontal="center"/>
    </xf>
    <xf numFmtId="0" fontId="2" fillId="16" borderId="5" xfId="15" applyBorder="1" applyAlignment="1">
      <alignment horizontal="center"/>
    </xf>
    <xf numFmtId="0" fontId="4" fillId="16" borderId="5" xfId="15" applyFont="1" applyBorder="1" applyAlignment="1">
      <alignment horizontal="center"/>
    </xf>
    <xf numFmtId="17" fontId="2" fillId="16" borderId="5" xfId="15" applyNumberFormat="1" applyBorder="1" applyAlignment="1">
      <alignment horizontal="center"/>
    </xf>
    <xf numFmtId="1" fontId="2" fillId="15" borderId="5" xfId="14" applyNumberFormat="1" applyBorder="1" applyAlignment="1">
      <alignment horizontal="center"/>
    </xf>
    <xf numFmtId="0" fontId="2" fillId="15" borderId="5" xfId="14" applyBorder="1" applyAlignment="1">
      <alignment horizontal="center"/>
    </xf>
    <xf numFmtId="0" fontId="4" fillId="24" borderId="5" xfId="21" applyFont="1" applyBorder="1" applyAlignment="1">
      <alignment horizontal="center"/>
    </xf>
    <xf numFmtId="1" fontId="4" fillId="24" borderId="5" xfId="21" applyNumberFormat="1" applyFont="1" applyBorder="1" applyAlignment="1">
      <alignment horizontal="center"/>
    </xf>
    <xf numFmtId="8" fontId="9" fillId="25" borderId="10" xfId="0" applyNumberFormat="1" applyFont="1" applyFill="1" applyBorder="1" applyAlignment="1">
      <alignment horizontal="center" vertical="center" wrapText="1"/>
    </xf>
    <xf numFmtId="8" fontId="9" fillId="0" borderId="10" xfId="0" applyNumberFormat="1" applyFont="1" applyBorder="1" applyAlignment="1">
      <alignment horizontal="center" vertical="center" wrapText="1"/>
    </xf>
    <xf numFmtId="0" fontId="10" fillId="26" borderId="0" xfId="0" applyFont="1" applyFill="1" applyAlignment="1">
      <alignment horizontal="center" vertical="center"/>
    </xf>
    <xf numFmtId="0" fontId="0" fillId="0" borderId="0" xfId="0" applyAlignment="1">
      <alignment horizontal="center" vertical="center" wrapText="1"/>
    </xf>
    <xf numFmtId="0" fontId="3" fillId="2" borderId="1" xfId="1" applyFont="1" applyBorder="1" applyAlignment="1">
      <alignment horizontal="center"/>
    </xf>
    <xf numFmtId="0" fontId="3" fillId="5" borderId="1" xfId="4" applyFont="1" applyBorder="1" applyAlignment="1">
      <alignment horizontal="center"/>
    </xf>
    <xf numFmtId="0" fontId="2" fillId="13" borderId="1" xfId="12" applyBorder="1" applyAlignment="1">
      <alignment horizontal="center"/>
    </xf>
    <xf numFmtId="0" fontId="3" fillId="11" borderId="1" xfId="10" applyFont="1" applyBorder="1" applyAlignment="1">
      <alignment horizontal="center"/>
    </xf>
    <xf numFmtId="0" fontId="3" fillId="14" borderId="1" xfId="13" applyFont="1" applyBorder="1" applyAlignment="1">
      <alignment horizontal="center"/>
    </xf>
    <xf numFmtId="0" fontId="3" fillId="17" borderId="2" xfId="16" applyFont="1" applyBorder="1" applyAlignment="1">
      <alignment horizontal="center"/>
    </xf>
    <xf numFmtId="0" fontId="3" fillId="17" borderId="3" xfId="16" applyFont="1" applyBorder="1" applyAlignment="1">
      <alignment horizontal="center"/>
    </xf>
    <xf numFmtId="0" fontId="3" fillId="17" borderId="4" xfId="16" applyFont="1" applyBorder="1" applyAlignment="1">
      <alignment horizontal="center"/>
    </xf>
    <xf numFmtId="0" fontId="3" fillId="8" borderId="1" xfId="7" applyFont="1" applyBorder="1" applyAlignment="1">
      <alignment horizontal="center"/>
    </xf>
    <xf numFmtId="0" fontId="3" fillId="14" borderId="5" xfId="13" applyFont="1" applyBorder="1" applyAlignment="1">
      <alignment horizontal="center"/>
    </xf>
    <xf numFmtId="0" fontId="3" fillId="5" borderId="5" xfId="4" applyFont="1" applyBorder="1" applyAlignment="1">
      <alignment horizontal="center"/>
    </xf>
    <xf numFmtId="0" fontId="17" fillId="32" borderId="5" xfId="0" applyFont="1" applyFill="1" applyBorder="1" applyAlignment="1">
      <alignment vertical="center" wrapText="1"/>
    </xf>
    <xf numFmtId="0" fontId="3" fillId="5" borderId="5" xfId="4" applyFont="1" applyBorder="1" applyAlignment="1">
      <alignment horizontal="center" vertical="center" wrapText="1"/>
    </xf>
    <xf numFmtId="0" fontId="3" fillId="5" borderId="5" xfId="4" applyFont="1" applyBorder="1" applyAlignment="1">
      <alignment horizontal="center" vertical="center"/>
    </xf>
    <xf numFmtId="0" fontId="10" fillId="26" borderId="11" xfId="0" applyFont="1" applyFill="1" applyBorder="1" applyAlignment="1">
      <alignment horizontal="center" vertical="center"/>
    </xf>
    <xf numFmtId="0" fontId="18" fillId="33" borderId="0" xfId="0" applyFont="1" applyFill="1" applyAlignment="1">
      <alignment horizontal="center" vertical="center"/>
    </xf>
    <xf numFmtId="0" fontId="10" fillId="26" borderId="0" xfId="0" applyFont="1" applyFill="1" applyAlignment="1"/>
  </cellXfs>
  <cellStyles count="22">
    <cellStyle name="20% - Accent1" xfId="2" builtinId="30"/>
    <cellStyle name="20% - Accent2" xfId="5" builtinId="34"/>
    <cellStyle name="20% - Accent3" xfId="8" builtinId="38"/>
    <cellStyle name="20% - Accent4" xfId="11" builtinId="42"/>
    <cellStyle name="20% - Accent5" xfId="14" builtinId="46"/>
    <cellStyle name="20% - Accent6" xfId="17" builtinId="50"/>
    <cellStyle name="40% - Accent1" xfId="3" builtinId="31"/>
    <cellStyle name="40% - Accent2" xfId="6" builtinId="35"/>
    <cellStyle name="40% - Accent3" xfId="9" builtinId="39"/>
    <cellStyle name="40% - Accent4" xfId="12" builtinId="43"/>
    <cellStyle name="40% - Accent5" xfId="15" builtinId="47"/>
    <cellStyle name="40% - Accent6" xfId="18" builtinId="51"/>
    <cellStyle name="60% - Accent2" xfId="20" builtinId="36"/>
    <cellStyle name="60% - Accent5" xfId="21" builtinId="48"/>
    <cellStyle name="Accent1" xfId="1" builtinId="29"/>
    <cellStyle name="Accent2" xfId="4" builtinId="33"/>
    <cellStyle name="Accent3" xfId="7" builtinId="37"/>
    <cellStyle name="Accent4" xfId="10" builtinId="41"/>
    <cellStyle name="Accent5" xfId="13" builtinId="45"/>
    <cellStyle name="Accent6" xfId="16" builtinId="49"/>
    <cellStyle name="Input" xfId="19" builtinId="20"/>
    <cellStyle name="Normal" xfId="0" builtinId="0"/>
  </cellStyles>
  <dxfs count="0"/>
  <tableStyles count="0" defaultTableStyle="TableStyleMedium2" defaultPivotStyle="PivotStyleMedium9"/>
  <colors>
    <mruColors>
      <color rgb="FF5B9BD5"/>
      <color rgb="FFDB6825"/>
      <color rgb="FFA8A82C"/>
      <color rgb="FF0A5CA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C5" sqref="C5"/>
    </sheetView>
  </sheetViews>
  <sheetFormatPr defaultRowHeight="1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684B-CF16-4886-8A5D-34B5ACFB5E40}">
  <dimension ref="A1"/>
  <sheetViews>
    <sheetView workbookViewId="0">
      <selection activeCell="F14" sqref="F14"/>
    </sheetView>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A48DE-09EA-45CB-8897-6CE98FCA4136}">
  <dimension ref="B2:AK11"/>
  <sheetViews>
    <sheetView workbookViewId="0">
      <selection activeCell="E6" sqref="E6:E9"/>
    </sheetView>
  </sheetViews>
  <sheetFormatPr defaultRowHeight="15"/>
  <cols>
    <col min="1" max="1" width="3.85546875" customWidth="1"/>
    <col min="4" max="5" width="11.7109375" customWidth="1"/>
    <col min="6" max="7" width="3.7109375" customWidth="1"/>
    <col min="10" max="10" width="10.85546875" bestFit="1" customWidth="1"/>
    <col min="11" max="11" width="10" bestFit="1" customWidth="1"/>
    <col min="12" max="13" width="3.7109375" customWidth="1"/>
    <col min="18" max="18" width="18.42578125" bestFit="1" customWidth="1"/>
    <col min="19" max="20" width="3.7109375" customWidth="1"/>
    <col min="23" max="23" width="20.85546875" bestFit="1" customWidth="1"/>
    <col min="24" max="25" width="3.7109375" customWidth="1"/>
    <col min="29" max="29" width="10.28515625" bestFit="1" customWidth="1"/>
    <col min="30" max="30" width="6" bestFit="1" customWidth="1"/>
    <col min="31" max="31" width="8.42578125" bestFit="1" customWidth="1"/>
    <col min="32" max="32" width="17.7109375" customWidth="1"/>
    <col min="33" max="34" width="3.7109375" customWidth="1"/>
    <col min="36" max="36" width="4.28515625" bestFit="1" customWidth="1"/>
    <col min="37" max="37" width="54.85546875" customWidth="1"/>
  </cols>
  <sheetData>
    <row r="2" spans="2:37">
      <c r="C2" s="110" t="s">
        <v>0</v>
      </c>
      <c r="D2" s="110"/>
      <c r="E2" s="110"/>
      <c r="I2" s="111" t="s">
        <v>1</v>
      </c>
      <c r="J2" s="111"/>
      <c r="K2" s="111"/>
      <c r="O2" s="113" t="s">
        <v>2</v>
      </c>
      <c r="P2" s="113"/>
      <c r="Q2" s="113"/>
      <c r="R2" s="113"/>
      <c r="V2" s="114" t="s">
        <v>3</v>
      </c>
      <c r="W2" s="114"/>
      <c r="AA2" s="115" t="s">
        <v>4</v>
      </c>
      <c r="AB2" s="116"/>
      <c r="AC2" s="116"/>
      <c r="AD2" s="116"/>
      <c r="AE2" s="116"/>
      <c r="AF2" s="117"/>
      <c r="AJ2" s="118" t="s">
        <v>5</v>
      </c>
      <c r="AK2" s="118"/>
    </row>
    <row r="3" spans="2:37">
      <c r="C3" s="1" t="s">
        <v>6</v>
      </c>
      <c r="D3" s="2" t="s">
        <v>0</v>
      </c>
      <c r="E3" s="2" t="s">
        <v>7</v>
      </c>
      <c r="I3" s="4"/>
      <c r="J3" s="4" t="s">
        <v>8</v>
      </c>
      <c r="K3" s="4" t="s">
        <v>7</v>
      </c>
      <c r="O3" s="8"/>
      <c r="P3" s="10" t="s">
        <v>9</v>
      </c>
      <c r="Q3" s="10" t="s">
        <v>10</v>
      </c>
      <c r="R3" s="10" t="s">
        <v>11</v>
      </c>
      <c r="V3" s="11"/>
      <c r="W3" s="18" t="s">
        <v>12</v>
      </c>
      <c r="AA3" s="15"/>
      <c r="AB3" s="19" t="s">
        <v>13</v>
      </c>
      <c r="AC3" s="19" t="s">
        <v>14</v>
      </c>
      <c r="AD3" s="19" t="s">
        <v>15</v>
      </c>
      <c r="AE3" s="19" t="s">
        <v>16</v>
      </c>
      <c r="AF3" s="19" t="s">
        <v>17</v>
      </c>
      <c r="AJ3" s="20" t="s">
        <v>18</v>
      </c>
      <c r="AK3" s="20" t="s">
        <v>19</v>
      </c>
    </row>
    <row r="4" spans="2:37">
      <c r="B4" s="109" t="s">
        <v>20</v>
      </c>
      <c r="C4" s="21">
        <v>46138</v>
      </c>
      <c r="D4" s="3">
        <v>0.99829999999999997</v>
      </c>
      <c r="E4" s="3">
        <v>0.99</v>
      </c>
      <c r="H4" s="109" t="s">
        <v>20</v>
      </c>
      <c r="I4" s="23">
        <v>46138</v>
      </c>
      <c r="J4" s="5">
        <v>4.5</v>
      </c>
      <c r="K4" s="5">
        <v>4.5</v>
      </c>
      <c r="N4" s="109" t="s">
        <v>20</v>
      </c>
      <c r="O4" s="25">
        <v>46138</v>
      </c>
      <c r="P4" s="7">
        <v>96</v>
      </c>
      <c r="Q4" s="7">
        <v>4</v>
      </c>
      <c r="R4" s="9">
        <f>P4/(P4+Q4)</f>
        <v>0.96</v>
      </c>
      <c r="U4" s="109" t="s">
        <v>20</v>
      </c>
      <c r="V4" s="13">
        <v>46138</v>
      </c>
      <c r="W4" s="12">
        <v>2</v>
      </c>
      <c r="Z4" s="109" t="s">
        <v>20</v>
      </c>
      <c r="AA4" s="16">
        <v>46138</v>
      </c>
      <c r="AB4" s="14">
        <v>56</v>
      </c>
      <c r="AC4" s="14">
        <v>32</v>
      </c>
      <c r="AD4" s="14">
        <v>28</v>
      </c>
      <c r="AE4" s="14">
        <v>1</v>
      </c>
      <c r="AF4" s="14">
        <v>3</v>
      </c>
      <c r="AI4" s="109" t="s">
        <v>21</v>
      </c>
      <c r="AJ4" s="17">
        <v>1</v>
      </c>
      <c r="AK4" s="17" t="s">
        <v>22</v>
      </c>
    </row>
    <row r="5" spans="2:37">
      <c r="B5" s="109"/>
      <c r="C5" s="21">
        <v>46168</v>
      </c>
      <c r="D5" s="3">
        <v>0.99739999999999995</v>
      </c>
      <c r="E5" s="3">
        <v>0.99</v>
      </c>
      <c r="H5" s="109"/>
      <c r="I5" s="23">
        <v>46168</v>
      </c>
      <c r="J5" s="5">
        <v>4.5999999999999996</v>
      </c>
      <c r="K5" s="5">
        <v>4.5</v>
      </c>
      <c r="N5" s="109"/>
      <c r="O5" s="25">
        <v>46168</v>
      </c>
      <c r="P5" s="7">
        <v>94</v>
      </c>
      <c r="Q5" s="7">
        <v>6</v>
      </c>
      <c r="R5" s="9">
        <f t="shared" ref="R5:R9" si="0">P5/(P5+Q5)</f>
        <v>0.94</v>
      </c>
      <c r="U5" s="109"/>
      <c r="V5" s="13">
        <v>46168</v>
      </c>
      <c r="W5" s="12">
        <v>0</v>
      </c>
      <c r="Z5" s="109"/>
      <c r="AA5" s="16">
        <v>46168</v>
      </c>
      <c r="AB5" s="14">
        <v>56</v>
      </c>
      <c r="AC5" s="14">
        <v>32</v>
      </c>
      <c r="AD5" s="14">
        <v>29</v>
      </c>
      <c r="AE5" s="14">
        <v>0</v>
      </c>
      <c r="AF5" s="14">
        <v>3</v>
      </c>
      <c r="AI5" s="109"/>
      <c r="AJ5" s="17">
        <v>2</v>
      </c>
      <c r="AK5" s="17" t="s">
        <v>23</v>
      </c>
    </row>
    <row r="6" spans="2:37">
      <c r="B6" s="109"/>
      <c r="C6" s="21">
        <v>46199</v>
      </c>
      <c r="D6" s="3">
        <v>0.99809999999999999</v>
      </c>
      <c r="E6" s="3">
        <v>1</v>
      </c>
      <c r="H6" s="109"/>
      <c r="I6" s="23">
        <v>46199</v>
      </c>
      <c r="J6" s="5">
        <v>4.5999999999999996</v>
      </c>
      <c r="K6" s="5">
        <v>4.5</v>
      </c>
      <c r="N6" s="109"/>
      <c r="O6" s="25">
        <v>46199</v>
      </c>
      <c r="P6" s="7">
        <v>96</v>
      </c>
      <c r="Q6" s="7">
        <v>4</v>
      </c>
      <c r="R6" s="9">
        <f t="shared" si="0"/>
        <v>0.96</v>
      </c>
      <c r="U6" s="109"/>
      <c r="V6" s="13">
        <v>46199</v>
      </c>
      <c r="W6" s="12">
        <v>0</v>
      </c>
      <c r="Z6" s="109"/>
      <c r="AA6" s="16">
        <v>46199</v>
      </c>
      <c r="AB6" s="14">
        <v>56</v>
      </c>
      <c r="AC6" s="14">
        <v>52</v>
      </c>
      <c r="AD6" s="14">
        <v>46</v>
      </c>
      <c r="AE6" s="14">
        <v>0</v>
      </c>
      <c r="AF6" s="14">
        <v>6</v>
      </c>
      <c r="AI6" s="109"/>
      <c r="AJ6" s="17">
        <v>3</v>
      </c>
      <c r="AK6" s="17" t="s">
        <v>24</v>
      </c>
    </row>
    <row r="7" spans="2:37">
      <c r="B7" s="109"/>
      <c r="C7" s="21">
        <v>46229</v>
      </c>
      <c r="D7" s="3">
        <v>0.99809999999999999</v>
      </c>
      <c r="E7" s="3">
        <v>1</v>
      </c>
      <c r="H7" s="109"/>
      <c r="I7" s="23">
        <v>46229</v>
      </c>
      <c r="J7" s="5">
        <v>4.54</v>
      </c>
      <c r="K7" s="5">
        <v>4.5</v>
      </c>
      <c r="N7" s="109"/>
      <c r="O7" s="25">
        <v>46229</v>
      </c>
      <c r="P7" s="7">
        <v>97</v>
      </c>
      <c r="Q7" s="7">
        <v>3</v>
      </c>
      <c r="R7" s="9">
        <f t="shared" si="0"/>
        <v>0.97</v>
      </c>
      <c r="U7" s="109"/>
      <c r="V7" s="13">
        <v>46229</v>
      </c>
      <c r="W7" s="12">
        <v>1</v>
      </c>
      <c r="Z7" s="109"/>
      <c r="AA7" s="16">
        <v>46229</v>
      </c>
      <c r="AB7" s="14">
        <v>56</v>
      </c>
      <c r="AC7" s="14">
        <v>29</v>
      </c>
      <c r="AD7" s="14">
        <v>29</v>
      </c>
      <c r="AE7" s="14">
        <v>1</v>
      </c>
      <c r="AF7" s="14">
        <v>3</v>
      </c>
      <c r="AI7" s="109"/>
      <c r="AJ7" s="17">
        <v>4</v>
      </c>
      <c r="AK7" s="17" t="s">
        <v>25</v>
      </c>
    </row>
    <row r="8" spans="2:37">
      <c r="B8" s="109"/>
      <c r="C8" s="22">
        <v>46260</v>
      </c>
      <c r="D8" s="3">
        <v>0.99819999999999998</v>
      </c>
      <c r="E8" s="3">
        <v>1</v>
      </c>
      <c r="H8" s="109"/>
      <c r="I8" s="24">
        <v>46260</v>
      </c>
      <c r="J8" s="6">
        <v>4.55</v>
      </c>
      <c r="K8" s="5">
        <v>4.5</v>
      </c>
      <c r="N8" s="109"/>
      <c r="O8" s="25">
        <v>46260</v>
      </c>
      <c r="P8" s="7">
        <v>96</v>
      </c>
      <c r="Q8" s="7">
        <v>4</v>
      </c>
      <c r="R8" s="9">
        <f t="shared" si="0"/>
        <v>0.96</v>
      </c>
      <c r="U8" s="109"/>
      <c r="V8" s="13">
        <v>46260</v>
      </c>
      <c r="W8" s="12">
        <v>0</v>
      </c>
      <c r="Z8" s="109"/>
      <c r="AA8" s="16">
        <v>46260</v>
      </c>
      <c r="AB8" s="14">
        <v>56</v>
      </c>
      <c r="AC8" s="14">
        <v>36</v>
      </c>
      <c r="AD8" s="14">
        <v>28</v>
      </c>
      <c r="AE8" s="14">
        <v>0</v>
      </c>
      <c r="AF8" s="14">
        <v>3</v>
      </c>
      <c r="AI8" s="109"/>
      <c r="AJ8" s="17">
        <v>5</v>
      </c>
      <c r="AK8" s="17"/>
    </row>
    <row r="9" spans="2:37">
      <c r="B9" s="109"/>
      <c r="C9" s="22">
        <v>46291</v>
      </c>
      <c r="D9" s="3">
        <v>0.99829999999999997</v>
      </c>
      <c r="E9" s="3">
        <v>1</v>
      </c>
      <c r="H9" s="109"/>
      <c r="I9" s="24">
        <v>46291</v>
      </c>
      <c r="J9" s="6">
        <v>4.5599999999999996</v>
      </c>
      <c r="K9" s="5">
        <v>4.5</v>
      </c>
      <c r="N9" s="109"/>
      <c r="O9" s="25">
        <v>46291</v>
      </c>
      <c r="P9" s="7">
        <v>98</v>
      </c>
      <c r="Q9" s="7">
        <v>2</v>
      </c>
      <c r="R9" s="9">
        <f t="shared" si="0"/>
        <v>0.98</v>
      </c>
      <c r="U9" s="109"/>
      <c r="V9" s="13">
        <v>46291</v>
      </c>
      <c r="W9" s="12">
        <v>1</v>
      </c>
      <c r="Z9" s="109"/>
      <c r="AA9" s="16">
        <v>46291</v>
      </c>
      <c r="AB9" s="14">
        <v>56</v>
      </c>
      <c r="AC9" s="14">
        <v>40</v>
      </c>
      <c r="AD9" s="14">
        <v>29</v>
      </c>
      <c r="AE9" s="14">
        <v>0</v>
      </c>
      <c r="AF9" s="14">
        <v>6</v>
      </c>
      <c r="AI9" s="109"/>
      <c r="AJ9" s="17">
        <v>6</v>
      </c>
      <c r="AK9" s="17"/>
    </row>
    <row r="10" spans="2:37">
      <c r="O10" s="112" t="s">
        <v>26</v>
      </c>
      <c r="P10" s="112"/>
      <c r="Q10" s="112"/>
      <c r="R10" s="9">
        <f>AVERAGE(R4:R9)</f>
        <v>0.96166666666666656</v>
      </c>
      <c r="AJ10" s="17"/>
      <c r="AK10" s="17"/>
    </row>
    <row r="11" spans="2:37">
      <c r="AJ11" s="17"/>
      <c r="AK11" s="17"/>
    </row>
  </sheetData>
  <mergeCells count="13">
    <mergeCell ref="U4:U9"/>
    <mergeCell ref="V2:W2"/>
    <mergeCell ref="Z4:Z9"/>
    <mergeCell ref="AA2:AF2"/>
    <mergeCell ref="AJ2:AK2"/>
    <mergeCell ref="AI4:AI9"/>
    <mergeCell ref="B4:B9"/>
    <mergeCell ref="C2:E2"/>
    <mergeCell ref="H4:H9"/>
    <mergeCell ref="I2:K2"/>
    <mergeCell ref="O10:Q10"/>
    <mergeCell ref="O2:R2"/>
    <mergeCell ref="N4:N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EA674-3848-497A-B09B-41ACA60FCFEC}">
  <dimension ref="B1:AP180"/>
  <sheetViews>
    <sheetView topLeftCell="Y4" workbookViewId="0">
      <selection activeCell="AD5" sqref="AD5"/>
    </sheetView>
  </sheetViews>
  <sheetFormatPr defaultRowHeight="15"/>
  <cols>
    <col min="1" max="2" width="9.140625" style="98"/>
    <col min="3" max="3" width="11.42578125" style="98" bestFit="1" customWidth="1"/>
    <col min="4" max="4" width="9.28515625" style="98" bestFit="1" customWidth="1"/>
    <col min="5" max="5" width="7.85546875" style="98" bestFit="1" customWidth="1"/>
    <col min="6" max="7" width="9.140625" style="98"/>
    <col min="8" max="9" width="12" style="98" bestFit="1" customWidth="1"/>
    <col min="10" max="12" width="9.140625" style="98"/>
    <col min="13" max="13" width="4.28515625" style="98" bestFit="1" customWidth="1"/>
    <col min="14" max="14" width="15.85546875" style="98" bestFit="1" customWidth="1"/>
    <col min="15" max="15" width="6.42578125" style="98" bestFit="1" customWidth="1"/>
    <col min="16" max="17" width="9.140625" style="98"/>
    <col min="18" max="18" width="4.42578125" style="98" bestFit="1" customWidth="1"/>
    <col min="19" max="19" width="58.5703125" style="98" bestFit="1" customWidth="1"/>
    <col min="20" max="22" width="9.140625" style="98"/>
    <col min="23" max="23" width="16.5703125" style="98" bestFit="1" customWidth="1"/>
    <col min="24" max="24" width="7.5703125" style="98" bestFit="1" customWidth="1"/>
    <col min="25" max="25" width="7.28515625" style="98" bestFit="1" customWidth="1"/>
    <col min="26" max="26" width="5.42578125" style="98" bestFit="1" customWidth="1"/>
    <col min="27" max="27" width="6.85546875" style="98" bestFit="1" customWidth="1"/>
    <col min="28" max="28" width="12.5703125" style="98" bestFit="1" customWidth="1"/>
    <col min="29" max="29" width="5.7109375" style="98" bestFit="1" customWidth="1"/>
    <col min="30" max="16384" width="9.140625" style="98"/>
  </cols>
  <sheetData>
    <row r="1" spans="2:42">
      <c r="AE1" s="108" t="s">
        <v>27</v>
      </c>
      <c r="AF1" s="108"/>
      <c r="AG1" s="108"/>
      <c r="AH1" s="108"/>
      <c r="AI1" s="63"/>
      <c r="AJ1" s="108" t="s">
        <v>28</v>
      </c>
      <c r="AK1" s="108"/>
      <c r="AL1" s="108"/>
      <c r="AM1" s="108"/>
      <c r="AN1" s="108"/>
      <c r="AO1" s="63"/>
      <c r="AP1" s="63"/>
    </row>
    <row r="2" spans="2:42" ht="50.25">
      <c r="C2" s="119" t="s">
        <v>29</v>
      </c>
      <c r="D2" s="119"/>
      <c r="E2" s="119"/>
      <c r="H2" s="119" t="s">
        <v>30</v>
      </c>
      <c r="I2" s="119"/>
      <c r="J2" s="119"/>
      <c r="M2" s="119" t="s">
        <v>31</v>
      </c>
      <c r="N2" s="119"/>
      <c r="O2" s="119"/>
      <c r="R2" s="119" t="s">
        <v>32</v>
      </c>
      <c r="S2" s="119"/>
      <c r="T2" s="119"/>
      <c r="W2" s="119" t="s">
        <v>33</v>
      </c>
      <c r="X2" s="119"/>
      <c r="Y2" s="119"/>
      <c r="Z2" s="119"/>
      <c r="AA2" s="119"/>
      <c r="AB2" s="119"/>
      <c r="AC2" s="119"/>
      <c r="AE2" s="68" t="s">
        <v>34</v>
      </c>
      <c r="AF2" s="69" t="s">
        <v>35</v>
      </c>
      <c r="AG2" s="69" t="s">
        <v>36</v>
      </c>
      <c r="AH2" s="69" t="s">
        <v>37</v>
      </c>
      <c r="AI2" s="63"/>
      <c r="AJ2" s="68" t="s">
        <v>34</v>
      </c>
      <c r="AK2" s="69" t="s">
        <v>38</v>
      </c>
      <c r="AL2" s="69" t="s">
        <v>37</v>
      </c>
      <c r="AM2" s="69" t="s">
        <v>39</v>
      </c>
      <c r="AN2" s="69" t="s">
        <v>40</v>
      </c>
      <c r="AO2" s="63"/>
      <c r="AP2" s="63"/>
    </row>
    <row r="3" spans="2:42" ht="134.25">
      <c r="C3" s="99"/>
      <c r="D3" s="100" t="s">
        <v>41</v>
      </c>
      <c r="E3" s="100" t="s">
        <v>42</v>
      </c>
      <c r="H3" s="100" t="s">
        <v>43</v>
      </c>
      <c r="I3" s="100" t="s">
        <v>44</v>
      </c>
      <c r="J3" s="100" t="s">
        <v>45</v>
      </c>
      <c r="M3" s="100" t="s">
        <v>18</v>
      </c>
      <c r="N3" s="100" t="s">
        <v>46</v>
      </c>
      <c r="O3" s="100" t="s">
        <v>37</v>
      </c>
      <c r="R3" s="100" t="s">
        <v>18</v>
      </c>
      <c r="S3" s="100" t="s">
        <v>47</v>
      </c>
      <c r="T3" s="100" t="s">
        <v>37</v>
      </c>
      <c r="W3" s="100" t="s">
        <v>48</v>
      </c>
      <c r="X3" s="100" t="s">
        <v>49</v>
      </c>
      <c r="Y3" s="100" t="s">
        <v>50</v>
      </c>
      <c r="Z3" s="100" t="s">
        <v>51</v>
      </c>
      <c r="AA3" s="100" t="s">
        <v>52</v>
      </c>
      <c r="AB3" s="100" t="s">
        <v>53</v>
      </c>
      <c r="AC3" s="100" t="s">
        <v>54</v>
      </c>
      <c r="AE3" s="70" t="s">
        <v>55</v>
      </c>
      <c r="AF3" s="71" t="s">
        <v>56</v>
      </c>
      <c r="AG3" s="71" t="s">
        <v>57</v>
      </c>
      <c r="AH3" s="71">
        <v>9</v>
      </c>
      <c r="AI3" s="63"/>
      <c r="AJ3" s="70" t="s">
        <v>55</v>
      </c>
      <c r="AK3" s="71" t="s">
        <v>58</v>
      </c>
      <c r="AL3" s="71">
        <v>5</v>
      </c>
      <c r="AM3" s="71">
        <v>50</v>
      </c>
      <c r="AN3" s="71" t="s">
        <v>59</v>
      </c>
      <c r="AO3" s="63"/>
      <c r="AP3" s="63"/>
    </row>
    <row r="4" spans="2:42" ht="150.75">
      <c r="B4" s="109" t="s">
        <v>20</v>
      </c>
      <c r="C4" s="101">
        <v>46138</v>
      </c>
      <c r="D4" s="102">
        <v>1488</v>
      </c>
      <c r="E4" s="102">
        <v>6519</v>
      </c>
      <c r="G4" s="109" t="s">
        <v>20</v>
      </c>
      <c r="H4" s="99" t="s">
        <v>60</v>
      </c>
      <c r="I4" s="103">
        <v>637</v>
      </c>
      <c r="J4" s="103">
        <v>1439</v>
      </c>
      <c r="L4" s="109" t="s">
        <v>20</v>
      </c>
      <c r="M4" s="103">
        <v>1</v>
      </c>
      <c r="N4" s="103" t="s">
        <v>61</v>
      </c>
      <c r="O4" s="103">
        <v>2577</v>
      </c>
      <c r="Q4" s="109" t="s">
        <v>20</v>
      </c>
      <c r="R4" s="103">
        <v>1</v>
      </c>
      <c r="S4" s="103" t="s">
        <v>62</v>
      </c>
      <c r="T4" s="103">
        <v>3717</v>
      </c>
      <c r="W4" s="42" t="s">
        <v>63</v>
      </c>
      <c r="X4" s="42" t="s">
        <v>64</v>
      </c>
      <c r="Y4" s="42">
        <v>3703</v>
      </c>
      <c r="Z4" s="42">
        <v>1129</v>
      </c>
      <c r="AA4" s="42">
        <v>3516</v>
      </c>
      <c r="AB4" s="42">
        <v>54</v>
      </c>
      <c r="AC4" s="42">
        <f>SUM(Y4:AB4)</f>
        <v>8402</v>
      </c>
      <c r="AE4" s="74" t="s">
        <v>55</v>
      </c>
      <c r="AF4" s="75" t="s">
        <v>56</v>
      </c>
      <c r="AG4" s="96">
        <v>46086</v>
      </c>
      <c r="AH4" s="75">
        <v>2</v>
      </c>
      <c r="AI4" s="63"/>
      <c r="AJ4" s="74" t="s">
        <v>55</v>
      </c>
      <c r="AK4" s="75" t="s">
        <v>65</v>
      </c>
      <c r="AL4" s="75">
        <v>3</v>
      </c>
      <c r="AM4" s="75">
        <v>30</v>
      </c>
      <c r="AN4" s="75" t="s">
        <v>66</v>
      </c>
      <c r="AO4" s="63"/>
      <c r="AP4" s="63"/>
    </row>
    <row r="5" spans="2:42" ht="134.25">
      <c r="B5" s="109"/>
      <c r="C5" s="101">
        <v>46168</v>
      </c>
      <c r="D5" s="102">
        <v>1325</v>
      </c>
      <c r="E5" s="102">
        <v>4340</v>
      </c>
      <c r="G5" s="109"/>
      <c r="H5" s="99" t="s">
        <v>67</v>
      </c>
      <c r="I5" s="103">
        <v>4283</v>
      </c>
      <c r="J5" s="103">
        <v>5086</v>
      </c>
      <c r="L5" s="109"/>
      <c r="M5" s="103">
        <v>2</v>
      </c>
      <c r="N5" s="103" t="s">
        <v>68</v>
      </c>
      <c r="O5" s="103">
        <v>690</v>
      </c>
      <c r="Q5" s="109"/>
      <c r="R5" s="103">
        <v>2</v>
      </c>
      <c r="S5" s="103" t="s">
        <v>69</v>
      </c>
      <c r="T5" s="103">
        <v>2249</v>
      </c>
      <c r="AE5" s="70" t="s">
        <v>55</v>
      </c>
      <c r="AF5" s="71" t="s">
        <v>56</v>
      </c>
      <c r="AG5" s="97">
        <v>46152</v>
      </c>
      <c r="AH5" s="71">
        <v>2</v>
      </c>
      <c r="AI5" s="63"/>
      <c r="AJ5" s="70" t="s">
        <v>55</v>
      </c>
      <c r="AK5" s="71" t="s">
        <v>70</v>
      </c>
      <c r="AL5" s="71">
        <v>1</v>
      </c>
      <c r="AM5" s="71">
        <v>10</v>
      </c>
      <c r="AN5" s="71" t="s">
        <v>71</v>
      </c>
      <c r="AO5" s="63"/>
      <c r="AP5" s="63"/>
    </row>
    <row r="6" spans="2:42" ht="117">
      <c r="B6" s="109"/>
      <c r="C6" s="101">
        <v>46199</v>
      </c>
      <c r="D6" s="102">
        <v>1176</v>
      </c>
      <c r="E6" s="102">
        <v>5882</v>
      </c>
      <c r="G6" s="109"/>
      <c r="H6" s="99" t="s">
        <v>72</v>
      </c>
      <c r="I6" s="103">
        <v>69</v>
      </c>
      <c r="J6" s="103">
        <v>1353</v>
      </c>
      <c r="L6" s="109"/>
      <c r="M6" s="103">
        <v>3</v>
      </c>
      <c r="N6" s="103" t="s">
        <v>73</v>
      </c>
      <c r="O6" s="103">
        <v>375</v>
      </c>
      <c r="Q6" s="109"/>
      <c r="R6" s="103">
        <v>3</v>
      </c>
      <c r="S6" s="103" t="s">
        <v>74</v>
      </c>
      <c r="T6" s="103">
        <v>1778</v>
      </c>
      <c r="AE6" s="74" t="s">
        <v>55</v>
      </c>
      <c r="AF6" s="75" t="s">
        <v>56</v>
      </c>
      <c r="AG6" s="96">
        <v>46315</v>
      </c>
      <c r="AH6" s="75">
        <v>2</v>
      </c>
      <c r="AI6" s="63"/>
      <c r="AJ6" s="74" t="s">
        <v>55</v>
      </c>
      <c r="AK6" s="75" t="s">
        <v>75</v>
      </c>
      <c r="AL6" s="75">
        <v>1</v>
      </c>
      <c r="AM6" s="75">
        <v>10</v>
      </c>
      <c r="AN6" s="75" t="s">
        <v>76</v>
      </c>
      <c r="AO6" s="63"/>
      <c r="AP6" s="63"/>
    </row>
    <row r="7" spans="2:42" ht="66.75">
      <c r="B7" s="109"/>
      <c r="C7" s="101">
        <v>46229</v>
      </c>
      <c r="D7" s="102">
        <v>1498</v>
      </c>
      <c r="E7" s="102">
        <v>5578</v>
      </c>
      <c r="G7" s="109"/>
      <c r="H7" s="99" t="s">
        <v>77</v>
      </c>
      <c r="I7" s="103">
        <v>498</v>
      </c>
      <c r="J7" s="103">
        <v>14441</v>
      </c>
      <c r="L7" s="109"/>
      <c r="M7" s="103">
        <v>4</v>
      </c>
      <c r="N7" s="103" t="s">
        <v>78</v>
      </c>
      <c r="O7" s="103">
        <v>192</v>
      </c>
      <c r="Q7" s="109"/>
      <c r="R7" s="103">
        <v>4</v>
      </c>
      <c r="S7" s="103" t="s">
        <v>79</v>
      </c>
      <c r="T7" s="103">
        <v>1657</v>
      </c>
      <c r="AE7" s="70" t="s">
        <v>55</v>
      </c>
      <c r="AF7" s="71" t="s">
        <v>56</v>
      </c>
      <c r="AG7" s="71" t="s">
        <v>80</v>
      </c>
      <c r="AH7" s="71">
        <v>0</v>
      </c>
      <c r="AI7" s="63"/>
      <c r="AJ7" s="70" t="s">
        <v>42</v>
      </c>
      <c r="AK7" s="71" t="s">
        <v>81</v>
      </c>
      <c r="AL7" s="71">
        <v>21</v>
      </c>
      <c r="AM7" s="71">
        <v>38</v>
      </c>
      <c r="AN7" s="71" t="s">
        <v>82</v>
      </c>
      <c r="AO7" s="63"/>
      <c r="AP7" s="63"/>
    </row>
    <row r="8" spans="2:42" ht="234">
      <c r="B8" s="109"/>
      <c r="C8" s="101">
        <v>46260</v>
      </c>
      <c r="D8" s="102">
        <v>0</v>
      </c>
      <c r="E8" s="102">
        <v>0</v>
      </c>
      <c r="G8" s="109"/>
      <c r="H8" s="104" t="s">
        <v>83</v>
      </c>
      <c r="I8" s="104">
        <f>SUM(I4:I7)</f>
        <v>5487</v>
      </c>
      <c r="J8" s="104">
        <f>SUM(J4:J7)</f>
        <v>22319</v>
      </c>
      <c r="L8" s="109"/>
      <c r="M8" s="103">
        <v>5</v>
      </c>
      <c r="N8" s="103" t="s">
        <v>84</v>
      </c>
      <c r="O8" s="103">
        <v>173</v>
      </c>
      <c r="Q8" s="109"/>
      <c r="R8" s="103">
        <v>5</v>
      </c>
      <c r="S8" s="103" t="s">
        <v>85</v>
      </c>
      <c r="T8" s="103">
        <v>1183</v>
      </c>
      <c r="AE8" s="74" t="s">
        <v>55</v>
      </c>
      <c r="AF8" s="75" t="s">
        <v>56</v>
      </c>
      <c r="AG8" s="75" t="s">
        <v>86</v>
      </c>
      <c r="AH8" s="75">
        <v>0</v>
      </c>
      <c r="AI8" s="63"/>
      <c r="AJ8" s="74" t="s">
        <v>42</v>
      </c>
      <c r="AK8" s="75" t="s">
        <v>87</v>
      </c>
      <c r="AL8" s="75">
        <v>18</v>
      </c>
      <c r="AM8" s="75">
        <v>33</v>
      </c>
      <c r="AN8" s="75" t="s">
        <v>88</v>
      </c>
      <c r="AO8" s="63"/>
      <c r="AP8" s="63"/>
    </row>
    <row r="9" spans="2:42" ht="200.25">
      <c r="B9" s="109"/>
      <c r="C9" s="101">
        <v>46291</v>
      </c>
      <c r="D9" s="102">
        <v>0</v>
      </c>
      <c r="E9" s="102">
        <v>0</v>
      </c>
      <c r="G9" s="89"/>
      <c r="AE9" s="70" t="s">
        <v>55</v>
      </c>
      <c r="AF9" s="71" t="s">
        <v>56</v>
      </c>
      <c r="AG9" s="71" t="s">
        <v>54</v>
      </c>
      <c r="AH9" s="71">
        <v>15</v>
      </c>
      <c r="AI9" s="63"/>
      <c r="AJ9" s="70" t="s">
        <v>42</v>
      </c>
      <c r="AK9" s="71" t="s">
        <v>89</v>
      </c>
      <c r="AL9" s="71">
        <v>11</v>
      </c>
      <c r="AM9" s="71">
        <v>20</v>
      </c>
      <c r="AN9" s="71" t="s">
        <v>90</v>
      </c>
      <c r="AO9" s="63"/>
      <c r="AP9" s="63"/>
    </row>
    <row r="10" spans="2:42" ht="117">
      <c r="C10" s="104" t="s">
        <v>54</v>
      </c>
      <c r="D10" s="105">
        <f>SUM(D4:D9)</f>
        <v>5487</v>
      </c>
      <c r="E10" s="105">
        <f>SUM(E4:E9)</f>
        <v>22319</v>
      </c>
      <c r="AE10" s="74" t="s">
        <v>55</v>
      </c>
      <c r="AF10" s="75" t="s">
        <v>91</v>
      </c>
      <c r="AG10" s="75" t="s">
        <v>57</v>
      </c>
      <c r="AH10" s="75">
        <v>7</v>
      </c>
      <c r="AI10" s="63"/>
      <c r="AJ10" s="74" t="s">
        <v>42</v>
      </c>
      <c r="AK10" s="75" t="s">
        <v>58</v>
      </c>
      <c r="AL10" s="75">
        <v>5</v>
      </c>
      <c r="AM10" s="75">
        <v>9</v>
      </c>
      <c r="AN10" s="75" t="s">
        <v>76</v>
      </c>
      <c r="AO10" s="63"/>
      <c r="AP10" s="63"/>
    </row>
    <row r="11" spans="2:42" ht="50.25">
      <c r="C11" s="104" t="s">
        <v>83</v>
      </c>
      <c r="D11" s="105">
        <f>D10+E10</f>
        <v>27806</v>
      </c>
      <c r="E11" s="104"/>
      <c r="AE11" s="70" t="s">
        <v>55</v>
      </c>
      <c r="AF11" s="71" t="s">
        <v>91</v>
      </c>
      <c r="AG11" s="97">
        <v>46086</v>
      </c>
      <c r="AH11" s="71">
        <v>0</v>
      </c>
      <c r="AI11" s="63"/>
      <c r="AJ11" s="63"/>
      <c r="AK11" s="63"/>
      <c r="AL11" s="63"/>
      <c r="AM11" s="63"/>
      <c r="AN11" s="63"/>
      <c r="AO11" s="63"/>
      <c r="AP11" s="63"/>
    </row>
    <row r="12" spans="2:42" ht="50.25">
      <c r="AE12" s="74" t="s">
        <v>55</v>
      </c>
      <c r="AF12" s="75" t="s">
        <v>91</v>
      </c>
      <c r="AG12" s="96">
        <v>46152</v>
      </c>
      <c r="AH12" s="75">
        <v>1</v>
      </c>
      <c r="AI12" s="63"/>
      <c r="AJ12" s="63"/>
      <c r="AK12" s="63"/>
      <c r="AL12" s="63"/>
      <c r="AM12" s="63"/>
      <c r="AN12" s="63"/>
      <c r="AO12" s="63"/>
      <c r="AP12" s="63"/>
    </row>
    <row r="13" spans="2:42" ht="50.25">
      <c r="AE13" s="70" t="s">
        <v>55</v>
      </c>
      <c r="AF13" s="71" t="s">
        <v>91</v>
      </c>
      <c r="AG13" s="97">
        <v>46315</v>
      </c>
      <c r="AH13" s="71">
        <v>0</v>
      </c>
      <c r="AI13" s="63"/>
      <c r="AJ13" s="63"/>
      <c r="AK13" s="63"/>
      <c r="AL13" s="63"/>
      <c r="AM13" s="63"/>
      <c r="AN13" s="63"/>
      <c r="AO13" s="63"/>
      <c r="AP13" s="63"/>
    </row>
    <row r="14" spans="2:42" ht="50.25">
      <c r="AE14" s="74" t="s">
        <v>55</v>
      </c>
      <c r="AF14" s="75" t="s">
        <v>91</v>
      </c>
      <c r="AG14" s="75" t="s">
        <v>80</v>
      </c>
      <c r="AH14" s="75">
        <v>0</v>
      </c>
      <c r="AI14" s="63"/>
      <c r="AJ14" s="63"/>
      <c r="AK14" s="63"/>
      <c r="AL14" s="63"/>
      <c r="AM14" s="63"/>
      <c r="AN14" s="63"/>
      <c r="AO14" s="63"/>
      <c r="AP14" s="63"/>
    </row>
    <row r="15" spans="2:42" ht="50.25">
      <c r="AE15" s="70" t="s">
        <v>55</v>
      </c>
      <c r="AF15" s="71" t="s">
        <v>91</v>
      </c>
      <c r="AG15" s="71" t="s">
        <v>86</v>
      </c>
      <c r="AH15" s="71">
        <v>0</v>
      </c>
      <c r="AI15" s="63"/>
      <c r="AJ15" s="63"/>
      <c r="AK15" s="63"/>
      <c r="AL15" s="63"/>
      <c r="AM15" s="63"/>
      <c r="AN15" s="63"/>
      <c r="AO15" s="63"/>
      <c r="AP15" s="63"/>
    </row>
    <row r="16" spans="2:42" ht="50.25">
      <c r="AE16" s="74" t="s">
        <v>55</v>
      </c>
      <c r="AF16" s="75" t="s">
        <v>91</v>
      </c>
      <c r="AG16" s="75" t="s">
        <v>54</v>
      </c>
      <c r="AH16" s="75">
        <v>8</v>
      </c>
      <c r="AI16" s="63"/>
      <c r="AJ16" s="63"/>
      <c r="AK16" s="63"/>
      <c r="AL16" s="63"/>
      <c r="AM16" s="63"/>
      <c r="AN16" s="63"/>
      <c r="AO16" s="63"/>
      <c r="AP16" s="63"/>
    </row>
    <row r="17" spans="31:42" ht="50.25">
      <c r="AE17" s="70" t="s">
        <v>55</v>
      </c>
      <c r="AF17" s="71" t="s">
        <v>92</v>
      </c>
      <c r="AG17" s="71" t="s">
        <v>57</v>
      </c>
      <c r="AH17" s="71">
        <v>3</v>
      </c>
      <c r="AI17" s="63"/>
      <c r="AJ17" s="63"/>
      <c r="AK17" s="63"/>
      <c r="AL17" s="63"/>
      <c r="AM17" s="63"/>
      <c r="AN17" s="63"/>
      <c r="AO17" s="63"/>
      <c r="AP17" s="63"/>
    </row>
    <row r="18" spans="31:42" ht="50.25">
      <c r="AE18" s="74" t="s">
        <v>55</v>
      </c>
      <c r="AF18" s="75" t="s">
        <v>92</v>
      </c>
      <c r="AG18" s="96">
        <v>46086</v>
      </c>
      <c r="AH18" s="75">
        <v>0</v>
      </c>
      <c r="AI18" s="63"/>
      <c r="AJ18" s="63"/>
      <c r="AK18" s="63"/>
      <c r="AL18" s="63"/>
      <c r="AM18" s="63"/>
      <c r="AN18" s="63"/>
      <c r="AO18" s="63"/>
      <c r="AP18" s="63"/>
    </row>
    <row r="19" spans="31:42" ht="50.25">
      <c r="AE19" s="70" t="s">
        <v>55</v>
      </c>
      <c r="AF19" s="71" t="s">
        <v>92</v>
      </c>
      <c r="AG19" s="97">
        <v>46152</v>
      </c>
      <c r="AH19" s="71">
        <v>0</v>
      </c>
      <c r="AI19" s="63"/>
      <c r="AJ19" s="63"/>
      <c r="AK19" s="63"/>
      <c r="AL19" s="63"/>
      <c r="AM19" s="63"/>
      <c r="AN19" s="63"/>
      <c r="AO19" s="63"/>
      <c r="AP19" s="63"/>
    </row>
    <row r="20" spans="31:42" ht="50.25">
      <c r="AE20" s="74" t="s">
        <v>55</v>
      </c>
      <c r="AF20" s="75" t="s">
        <v>92</v>
      </c>
      <c r="AG20" s="96">
        <v>46315</v>
      </c>
      <c r="AH20" s="75">
        <v>0</v>
      </c>
      <c r="AI20" s="63"/>
      <c r="AJ20" s="63"/>
      <c r="AK20" s="63"/>
      <c r="AL20" s="63"/>
      <c r="AM20" s="63"/>
      <c r="AN20" s="63"/>
      <c r="AO20" s="63"/>
      <c r="AP20" s="63"/>
    </row>
    <row r="21" spans="31:42" ht="50.25">
      <c r="AE21" s="70" t="s">
        <v>55</v>
      </c>
      <c r="AF21" s="71" t="s">
        <v>92</v>
      </c>
      <c r="AG21" s="71" t="s">
        <v>80</v>
      </c>
      <c r="AH21" s="71">
        <v>1</v>
      </c>
      <c r="AI21" s="63"/>
      <c r="AJ21" s="63"/>
      <c r="AK21" s="63"/>
      <c r="AL21" s="63"/>
      <c r="AM21" s="63"/>
      <c r="AN21" s="63"/>
      <c r="AO21" s="63"/>
      <c r="AP21" s="63"/>
    </row>
    <row r="22" spans="31:42" ht="50.25">
      <c r="AE22" s="74" t="s">
        <v>55</v>
      </c>
      <c r="AF22" s="75" t="s">
        <v>92</v>
      </c>
      <c r="AG22" s="75" t="s">
        <v>86</v>
      </c>
      <c r="AH22" s="75">
        <v>1</v>
      </c>
      <c r="AI22" s="63"/>
      <c r="AJ22" s="63"/>
      <c r="AK22" s="63"/>
      <c r="AL22" s="63"/>
      <c r="AM22" s="63"/>
      <c r="AN22" s="63"/>
      <c r="AO22" s="63"/>
      <c r="AP22" s="63"/>
    </row>
    <row r="23" spans="31:42" ht="50.25">
      <c r="AE23" s="70" t="s">
        <v>55</v>
      </c>
      <c r="AF23" s="71" t="s">
        <v>92</v>
      </c>
      <c r="AG23" s="71" t="s">
        <v>54</v>
      </c>
      <c r="AH23" s="71">
        <v>5</v>
      </c>
      <c r="AI23" s="63"/>
      <c r="AJ23" s="63"/>
      <c r="AK23" s="63"/>
      <c r="AL23" s="63"/>
      <c r="AM23" s="63"/>
      <c r="AN23" s="63"/>
      <c r="AO23" s="63"/>
      <c r="AP23" s="63"/>
    </row>
    <row r="24" spans="31:42" ht="66.75">
      <c r="AE24" s="74" t="s">
        <v>55</v>
      </c>
      <c r="AF24" s="75" t="s">
        <v>93</v>
      </c>
      <c r="AG24" s="75" t="s">
        <v>57</v>
      </c>
      <c r="AH24" s="75">
        <v>1</v>
      </c>
      <c r="AI24" s="63"/>
      <c r="AJ24" s="63"/>
      <c r="AK24" s="63"/>
      <c r="AL24" s="63"/>
      <c r="AM24" s="63"/>
      <c r="AN24" s="63"/>
      <c r="AO24" s="63"/>
      <c r="AP24" s="63"/>
    </row>
    <row r="25" spans="31:42" ht="66.75">
      <c r="AE25" s="70" t="s">
        <v>55</v>
      </c>
      <c r="AF25" s="71" t="s">
        <v>93</v>
      </c>
      <c r="AG25" s="97">
        <v>46086</v>
      </c>
      <c r="AH25" s="71">
        <v>0</v>
      </c>
      <c r="AI25" s="63"/>
      <c r="AJ25" s="63"/>
      <c r="AK25" s="63"/>
      <c r="AL25" s="63"/>
      <c r="AM25" s="63"/>
      <c r="AN25" s="63"/>
      <c r="AO25" s="63"/>
      <c r="AP25" s="63"/>
    </row>
    <row r="26" spans="31:42" ht="66.75">
      <c r="AE26" s="74" t="s">
        <v>55</v>
      </c>
      <c r="AF26" s="75" t="s">
        <v>93</v>
      </c>
      <c r="AG26" s="96">
        <v>46152</v>
      </c>
      <c r="AH26" s="75">
        <v>1</v>
      </c>
      <c r="AI26" s="63"/>
      <c r="AJ26" s="63"/>
      <c r="AK26" s="63"/>
      <c r="AL26" s="63"/>
      <c r="AM26" s="63"/>
      <c r="AN26" s="63"/>
      <c r="AO26" s="63"/>
      <c r="AP26" s="63"/>
    </row>
    <row r="27" spans="31:42" ht="66.75">
      <c r="AE27" s="70" t="s">
        <v>55</v>
      </c>
      <c r="AF27" s="71" t="s">
        <v>93</v>
      </c>
      <c r="AG27" s="97">
        <v>46315</v>
      </c>
      <c r="AH27" s="71">
        <v>1</v>
      </c>
      <c r="AI27" s="63"/>
      <c r="AJ27" s="63"/>
      <c r="AK27" s="63"/>
      <c r="AL27" s="63"/>
      <c r="AM27" s="63"/>
      <c r="AN27" s="63"/>
      <c r="AO27" s="63"/>
      <c r="AP27" s="63"/>
    </row>
    <row r="28" spans="31:42" ht="66.75">
      <c r="AE28" s="74" t="s">
        <v>55</v>
      </c>
      <c r="AF28" s="75" t="s">
        <v>93</v>
      </c>
      <c r="AG28" s="75" t="s">
        <v>80</v>
      </c>
      <c r="AH28" s="75">
        <v>0</v>
      </c>
      <c r="AI28" s="63"/>
      <c r="AJ28" s="63"/>
      <c r="AK28" s="63"/>
      <c r="AL28" s="63"/>
      <c r="AM28" s="63"/>
      <c r="AN28" s="63"/>
      <c r="AO28" s="63"/>
      <c r="AP28" s="63"/>
    </row>
    <row r="29" spans="31:42" ht="66.75">
      <c r="AE29" s="70" t="s">
        <v>55</v>
      </c>
      <c r="AF29" s="71" t="s">
        <v>93</v>
      </c>
      <c r="AG29" s="71" t="s">
        <v>86</v>
      </c>
      <c r="AH29" s="71">
        <v>0</v>
      </c>
      <c r="AI29" s="63"/>
      <c r="AJ29" s="63"/>
      <c r="AK29" s="63"/>
      <c r="AL29" s="63"/>
      <c r="AM29" s="63"/>
      <c r="AN29" s="63"/>
      <c r="AO29" s="63"/>
      <c r="AP29" s="63"/>
    </row>
    <row r="30" spans="31:42" ht="66.75">
      <c r="AE30" s="74" t="s">
        <v>55</v>
      </c>
      <c r="AF30" s="75" t="s">
        <v>93</v>
      </c>
      <c r="AG30" s="75" t="s">
        <v>54</v>
      </c>
      <c r="AH30" s="75">
        <v>3</v>
      </c>
      <c r="AI30" s="63"/>
      <c r="AJ30" s="63"/>
      <c r="AK30" s="63"/>
      <c r="AL30" s="63"/>
      <c r="AM30" s="63"/>
      <c r="AN30" s="63"/>
      <c r="AO30" s="63"/>
      <c r="AP30" s="63"/>
    </row>
    <row r="31" spans="31:42" ht="66.75">
      <c r="AE31" s="70" t="s">
        <v>55</v>
      </c>
      <c r="AF31" s="71" t="s">
        <v>94</v>
      </c>
      <c r="AG31" s="71" t="s">
        <v>57</v>
      </c>
      <c r="AH31" s="71">
        <v>3</v>
      </c>
      <c r="AI31" s="63"/>
      <c r="AJ31" s="63"/>
      <c r="AK31" s="63"/>
      <c r="AL31" s="63"/>
      <c r="AM31" s="63"/>
      <c r="AN31" s="63"/>
      <c r="AO31" s="63"/>
      <c r="AP31" s="63"/>
    </row>
    <row r="32" spans="31:42" ht="66.75">
      <c r="AE32" s="74" t="s">
        <v>55</v>
      </c>
      <c r="AF32" s="75" t="s">
        <v>94</v>
      </c>
      <c r="AG32" s="96">
        <v>46086</v>
      </c>
      <c r="AH32" s="75">
        <v>0</v>
      </c>
      <c r="AI32" s="63"/>
      <c r="AJ32" s="63"/>
      <c r="AK32" s="63"/>
      <c r="AL32" s="63"/>
      <c r="AM32" s="63"/>
      <c r="AN32" s="63"/>
      <c r="AO32" s="63"/>
      <c r="AP32" s="63"/>
    </row>
    <row r="33" spans="31:42" ht="66.75">
      <c r="AE33" s="70" t="s">
        <v>55</v>
      </c>
      <c r="AF33" s="71" t="s">
        <v>94</v>
      </c>
      <c r="AG33" s="97">
        <v>46152</v>
      </c>
      <c r="AH33" s="71">
        <v>0</v>
      </c>
      <c r="AI33" s="63"/>
      <c r="AJ33" s="63"/>
      <c r="AK33" s="63"/>
      <c r="AL33" s="63"/>
      <c r="AM33" s="63"/>
      <c r="AN33" s="63"/>
      <c r="AO33" s="63"/>
      <c r="AP33" s="63"/>
    </row>
    <row r="34" spans="31:42" ht="66.75">
      <c r="AE34" s="74" t="s">
        <v>55</v>
      </c>
      <c r="AF34" s="75" t="s">
        <v>94</v>
      </c>
      <c r="AG34" s="96">
        <v>46315</v>
      </c>
      <c r="AH34" s="75">
        <v>0</v>
      </c>
      <c r="AI34" s="63"/>
      <c r="AJ34" s="63"/>
      <c r="AK34" s="63"/>
      <c r="AL34" s="63"/>
      <c r="AM34" s="63"/>
      <c r="AN34" s="63"/>
      <c r="AO34" s="63"/>
      <c r="AP34" s="63"/>
    </row>
    <row r="35" spans="31:42" ht="66.75">
      <c r="AE35" s="70" t="s">
        <v>55</v>
      </c>
      <c r="AF35" s="71" t="s">
        <v>94</v>
      </c>
      <c r="AG35" s="71" t="s">
        <v>80</v>
      </c>
      <c r="AH35" s="71">
        <v>0</v>
      </c>
      <c r="AI35" s="63"/>
      <c r="AJ35" s="63"/>
      <c r="AK35" s="63"/>
      <c r="AL35" s="63"/>
      <c r="AM35" s="63"/>
      <c r="AN35" s="63"/>
      <c r="AO35" s="63"/>
      <c r="AP35" s="63"/>
    </row>
    <row r="36" spans="31:42" ht="66.75">
      <c r="AE36" s="74" t="s">
        <v>55</v>
      </c>
      <c r="AF36" s="75" t="s">
        <v>94</v>
      </c>
      <c r="AG36" s="75" t="s">
        <v>86</v>
      </c>
      <c r="AH36" s="75">
        <v>0</v>
      </c>
      <c r="AI36" s="63"/>
      <c r="AJ36" s="63"/>
      <c r="AK36" s="63"/>
      <c r="AL36" s="63"/>
      <c r="AM36" s="63"/>
      <c r="AN36" s="63"/>
      <c r="AO36" s="63"/>
      <c r="AP36" s="63"/>
    </row>
    <row r="37" spans="31:42" ht="66.75">
      <c r="AE37" s="70" t="s">
        <v>55</v>
      </c>
      <c r="AF37" s="71" t="s">
        <v>94</v>
      </c>
      <c r="AG37" s="71" t="s">
        <v>54</v>
      </c>
      <c r="AH37" s="71">
        <v>3</v>
      </c>
      <c r="AI37" s="63"/>
      <c r="AJ37" s="63"/>
      <c r="AK37" s="63"/>
      <c r="AL37" s="63"/>
      <c r="AM37" s="63"/>
      <c r="AN37" s="63"/>
      <c r="AO37" s="63"/>
      <c r="AP37" s="63"/>
    </row>
    <row r="38" spans="31:42" ht="33.75">
      <c r="AE38" s="74" t="s">
        <v>55</v>
      </c>
      <c r="AF38" s="75" t="s">
        <v>95</v>
      </c>
      <c r="AG38" s="75" t="s">
        <v>57</v>
      </c>
      <c r="AH38" s="75">
        <v>2</v>
      </c>
      <c r="AI38" s="63"/>
      <c r="AJ38" s="63"/>
      <c r="AK38" s="63"/>
      <c r="AL38" s="63"/>
      <c r="AM38" s="63"/>
      <c r="AN38" s="63"/>
      <c r="AO38" s="63"/>
      <c r="AP38" s="63"/>
    </row>
    <row r="39" spans="31:42" ht="33.75">
      <c r="AE39" s="70" t="s">
        <v>55</v>
      </c>
      <c r="AF39" s="71" t="s">
        <v>95</v>
      </c>
      <c r="AG39" s="97">
        <v>46086</v>
      </c>
      <c r="AH39" s="71">
        <v>0</v>
      </c>
      <c r="AI39" s="63"/>
      <c r="AJ39" s="63"/>
      <c r="AK39" s="63"/>
      <c r="AL39" s="63"/>
      <c r="AM39" s="63"/>
      <c r="AN39" s="63"/>
      <c r="AO39" s="63"/>
      <c r="AP39" s="63"/>
    </row>
    <row r="40" spans="31:42" ht="33.75">
      <c r="AE40" s="74" t="s">
        <v>55</v>
      </c>
      <c r="AF40" s="75" t="s">
        <v>95</v>
      </c>
      <c r="AG40" s="96">
        <v>46152</v>
      </c>
      <c r="AH40" s="75">
        <v>0</v>
      </c>
      <c r="AI40" s="63"/>
      <c r="AJ40" s="63"/>
      <c r="AK40" s="63"/>
      <c r="AL40" s="63"/>
      <c r="AM40" s="63"/>
      <c r="AN40" s="63"/>
      <c r="AO40" s="63"/>
      <c r="AP40" s="63"/>
    </row>
    <row r="41" spans="31:42" ht="33.75">
      <c r="AE41" s="70" t="s">
        <v>55</v>
      </c>
      <c r="AF41" s="71" t="s">
        <v>95</v>
      </c>
      <c r="AG41" s="97">
        <v>46315</v>
      </c>
      <c r="AH41" s="71">
        <v>0</v>
      </c>
      <c r="AI41" s="63"/>
      <c r="AJ41" s="63"/>
      <c r="AK41" s="63"/>
      <c r="AL41" s="63"/>
      <c r="AM41" s="63"/>
      <c r="AN41" s="63"/>
      <c r="AO41" s="63"/>
      <c r="AP41" s="63"/>
    </row>
    <row r="42" spans="31:42" ht="33.75">
      <c r="AE42" s="74" t="s">
        <v>55</v>
      </c>
      <c r="AF42" s="75" t="s">
        <v>95</v>
      </c>
      <c r="AG42" s="75" t="s">
        <v>80</v>
      </c>
      <c r="AH42" s="75">
        <v>0</v>
      </c>
      <c r="AI42" s="63"/>
      <c r="AJ42" s="63"/>
      <c r="AK42" s="63"/>
      <c r="AL42" s="63"/>
      <c r="AM42" s="63"/>
      <c r="AN42" s="63"/>
      <c r="AO42" s="63"/>
      <c r="AP42" s="63"/>
    </row>
    <row r="43" spans="31:42" ht="33.75">
      <c r="AE43" s="70" t="s">
        <v>55</v>
      </c>
      <c r="AF43" s="71" t="s">
        <v>95</v>
      </c>
      <c r="AG43" s="71" t="s">
        <v>86</v>
      </c>
      <c r="AH43" s="71">
        <v>0</v>
      </c>
      <c r="AI43" s="63"/>
      <c r="AJ43" s="63"/>
      <c r="AK43" s="63"/>
      <c r="AL43" s="63"/>
      <c r="AM43" s="63"/>
      <c r="AN43" s="63"/>
      <c r="AO43" s="63"/>
      <c r="AP43" s="63"/>
    </row>
    <row r="44" spans="31:42" ht="33.75">
      <c r="AE44" s="74" t="s">
        <v>55</v>
      </c>
      <c r="AF44" s="75" t="s">
        <v>95</v>
      </c>
      <c r="AG44" s="75" t="s">
        <v>54</v>
      </c>
      <c r="AH44" s="75">
        <v>2</v>
      </c>
      <c r="AI44" s="63"/>
      <c r="AJ44" s="63"/>
      <c r="AK44" s="63"/>
      <c r="AL44" s="63"/>
      <c r="AM44" s="63"/>
      <c r="AN44" s="63"/>
      <c r="AO44" s="63"/>
      <c r="AP44" s="63"/>
    </row>
    <row r="45" spans="31:42" ht="50.25">
      <c r="AE45" s="70" t="s">
        <v>55</v>
      </c>
      <c r="AF45" s="71" t="s">
        <v>96</v>
      </c>
      <c r="AG45" s="71" t="s">
        <v>57</v>
      </c>
      <c r="AH45" s="71">
        <v>1</v>
      </c>
      <c r="AI45" s="63"/>
      <c r="AJ45" s="63"/>
      <c r="AK45" s="63"/>
      <c r="AL45" s="63"/>
      <c r="AM45" s="63"/>
      <c r="AN45" s="63"/>
      <c r="AO45" s="63"/>
      <c r="AP45" s="63"/>
    </row>
    <row r="46" spans="31:42" ht="50.25">
      <c r="AE46" s="74" t="s">
        <v>55</v>
      </c>
      <c r="AF46" s="75" t="s">
        <v>96</v>
      </c>
      <c r="AG46" s="96">
        <v>46086</v>
      </c>
      <c r="AH46" s="75">
        <v>0</v>
      </c>
      <c r="AI46" s="63"/>
      <c r="AJ46" s="63"/>
      <c r="AK46" s="63"/>
      <c r="AL46" s="63"/>
      <c r="AM46" s="63"/>
      <c r="AN46" s="63"/>
      <c r="AO46" s="63"/>
      <c r="AP46" s="63"/>
    </row>
    <row r="47" spans="31:42" ht="50.25">
      <c r="AE47" s="70" t="s">
        <v>55</v>
      </c>
      <c r="AF47" s="71" t="s">
        <v>96</v>
      </c>
      <c r="AG47" s="97">
        <v>46152</v>
      </c>
      <c r="AH47" s="71">
        <v>0</v>
      </c>
      <c r="AI47" s="63"/>
      <c r="AJ47" s="63"/>
      <c r="AK47" s="63"/>
      <c r="AL47" s="63"/>
      <c r="AM47" s="63"/>
      <c r="AN47" s="63"/>
      <c r="AO47" s="63"/>
      <c r="AP47" s="63"/>
    </row>
    <row r="48" spans="31:42" ht="50.25">
      <c r="AE48" s="74" t="s">
        <v>55</v>
      </c>
      <c r="AF48" s="75" t="s">
        <v>96</v>
      </c>
      <c r="AG48" s="96">
        <v>46315</v>
      </c>
      <c r="AH48" s="75">
        <v>0</v>
      </c>
      <c r="AI48" s="63"/>
      <c r="AJ48" s="63"/>
      <c r="AK48" s="63"/>
      <c r="AL48" s="63"/>
      <c r="AM48" s="63"/>
      <c r="AN48" s="63"/>
      <c r="AO48" s="63"/>
      <c r="AP48" s="63"/>
    </row>
    <row r="49" spans="31:42" ht="50.25">
      <c r="AE49" s="70" t="s">
        <v>55</v>
      </c>
      <c r="AF49" s="71" t="s">
        <v>96</v>
      </c>
      <c r="AG49" s="71" t="s">
        <v>80</v>
      </c>
      <c r="AH49" s="71">
        <v>0</v>
      </c>
      <c r="AI49" s="63"/>
      <c r="AJ49" s="63"/>
      <c r="AK49" s="63"/>
      <c r="AL49" s="63"/>
      <c r="AM49" s="63"/>
      <c r="AN49" s="63"/>
      <c r="AO49" s="63"/>
      <c r="AP49" s="63"/>
    </row>
    <row r="50" spans="31:42" ht="50.25">
      <c r="AE50" s="74" t="s">
        <v>55</v>
      </c>
      <c r="AF50" s="75" t="s">
        <v>96</v>
      </c>
      <c r="AG50" s="75" t="s">
        <v>86</v>
      </c>
      <c r="AH50" s="75">
        <v>0</v>
      </c>
      <c r="AI50" s="63"/>
      <c r="AJ50" s="63"/>
      <c r="AK50" s="63"/>
      <c r="AL50" s="63"/>
      <c r="AM50" s="63"/>
      <c r="AN50" s="63"/>
      <c r="AO50" s="63"/>
      <c r="AP50" s="63"/>
    </row>
    <row r="51" spans="31:42" ht="50.25">
      <c r="AE51" s="70" t="s">
        <v>55</v>
      </c>
      <c r="AF51" s="71" t="s">
        <v>96</v>
      </c>
      <c r="AG51" s="71" t="s">
        <v>54</v>
      </c>
      <c r="AH51" s="71">
        <v>1</v>
      </c>
      <c r="AI51" s="63"/>
      <c r="AJ51" s="63"/>
      <c r="AK51" s="63"/>
      <c r="AL51" s="63"/>
      <c r="AM51" s="63"/>
      <c r="AN51" s="63"/>
      <c r="AO51" s="63"/>
      <c r="AP51" s="63"/>
    </row>
    <row r="52" spans="31:42" ht="50.25">
      <c r="AE52" s="74" t="s">
        <v>55</v>
      </c>
      <c r="AF52" s="75" t="s">
        <v>97</v>
      </c>
      <c r="AG52" s="75" t="s">
        <v>57</v>
      </c>
      <c r="AH52" s="75">
        <v>1</v>
      </c>
      <c r="AI52" s="63"/>
      <c r="AJ52" s="63"/>
      <c r="AK52" s="63"/>
      <c r="AL52" s="63"/>
      <c r="AM52" s="63"/>
      <c r="AN52" s="63"/>
      <c r="AO52" s="63"/>
      <c r="AP52" s="63"/>
    </row>
    <row r="53" spans="31:42" ht="50.25">
      <c r="AE53" s="70" t="s">
        <v>55</v>
      </c>
      <c r="AF53" s="71" t="s">
        <v>97</v>
      </c>
      <c r="AG53" s="97">
        <v>46086</v>
      </c>
      <c r="AH53" s="71">
        <v>0</v>
      </c>
      <c r="AI53" s="63"/>
      <c r="AJ53" s="63"/>
      <c r="AK53" s="63"/>
      <c r="AL53" s="63"/>
      <c r="AM53" s="63"/>
      <c r="AN53" s="63"/>
      <c r="AO53" s="63"/>
      <c r="AP53" s="63"/>
    </row>
    <row r="54" spans="31:42" ht="50.25">
      <c r="AE54" s="74" t="s">
        <v>55</v>
      </c>
      <c r="AF54" s="75" t="s">
        <v>97</v>
      </c>
      <c r="AG54" s="96">
        <v>46152</v>
      </c>
      <c r="AH54" s="75">
        <v>0</v>
      </c>
      <c r="AI54" s="63"/>
      <c r="AJ54" s="63"/>
      <c r="AK54" s="63"/>
      <c r="AL54" s="63"/>
      <c r="AM54" s="63"/>
      <c r="AN54" s="63"/>
      <c r="AO54" s="63"/>
      <c r="AP54" s="63"/>
    </row>
    <row r="55" spans="31:42" ht="50.25">
      <c r="AE55" s="70" t="s">
        <v>55</v>
      </c>
      <c r="AF55" s="71" t="s">
        <v>97</v>
      </c>
      <c r="AG55" s="97">
        <v>46315</v>
      </c>
      <c r="AH55" s="71">
        <v>0</v>
      </c>
      <c r="AI55" s="63"/>
      <c r="AJ55" s="63"/>
      <c r="AK55" s="63"/>
      <c r="AL55" s="63"/>
      <c r="AM55" s="63"/>
      <c r="AN55" s="63"/>
      <c r="AO55" s="63"/>
      <c r="AP55" s="63"/>
    </row>
    <row r="56" spans="31:42" ht="50.25">
      <c r="AE56" s="74" t="s">
        <v>55</v>
      </c>
      <c r="AF56" s="75" t="s">
        <v>97</v>
      </c>
      <c r="AG56" s="75" t="s">
        <v>80</v>
      </c>
      <c r="AH56" s="75">
        <v>0</v>
      </c>
      <c r="AI56" s="63"/>
      <c r="AJ56" s="63"/>
      <c r="AK56" s="63"/>
      <c r="AL56" s="63"/>
      <c r="AM56" s="63"/>
      <c r="AN56" s="63"/>
      <c r="AO56" s="63"/>
      <c r="AP56" s="63"/>
    </row>
    <row r="57" spans="31:42" ht="50.25">
      <c r="AE57" s="70" t="s">
        <v>55</v>
      </c>
      <c r="AF57" s="71" t="s">
        <v>97</v>
      </c>
      <c r="AG57" s="71" t="s">
        <v>86</v>
      </c>
      <c r="AH57" s="71">
        <v>0</v>
      </c>
      <c r="AI57" s="63"/>
      <c r="AJ57" s="63"/>
      <c r="AK57" s="63"/>
      <c r="AL57" s="63"/>
      <c r="AM57" s="63"/>
      <c r="AN57" s="63"/>
      <c r="AO57" s="63"/>
      <c r="AP57" s="63"/>
    </row>
    <row r="58" spans="31:42" ht="50.25">
      <c r="AE58" s="74" t="s">
        <v>55</v>
      </c>
      <c r="AF58" s="75" t="s">
        <v>97</v>
      </c>
      <c r="AG58" s="75" t="s">
        <v>54</v>
      </c>
      <c r="AH58" s="75">
        <v>1</v>
      </c>
      <c r="AI58" s="63"/>
      <c r="AJ58" s="63"/>
      <c r="AK58" s="63"/>
      <c r="AL58" s="63"/>
      <c r="AM58" s="63"/>
      <c r="AN58" s="63"/>
      <c r="AO58" s="63"/>
      <c r="AP58" s="63"/>
    </row>
    <row r="59" spans="31:42" ht="33.75">
      <c r="AE59" s="70" t="s">
        <v>55</v>
      </c>
      <c r="AF59" s="71" t="s">
        <v>98</v>
      </c>
      <c r="AG59" s="71" t="s">
        <v>57</v>
      </c>
      <c r="AH59" s="71">
        <v>0</v>
      </c>
      <c r="AI59" s="63"/>
      <c r="AJ59" s="63"/>
      <c r="AK59" s="63"/>
      <c r="AL59" s="63"/>
      <c r="AM59" s="63"/>
      <c r="AN59" s="63"/>
      <c r="AO59" s="63"/>
      <c r="AP59" s="63"/>
    </row>
    <row r="60" spans="31:42" ht="33.75">
      <c r="AE60" s="74" t="s">
        <v>55</v>
      </c>
      <c r="AF60" s="75" t="s">
        <v>98</v>
      </c>
      <c r="AG60" s="96">
        <v>46086</v>
      </c>
      <c r="AH60" s="75">
        <v>0</v>
      </c>
      <c r="AI60" s="63"/>
      <c r="AJ60" s="63"/>
      <c r="AK60" s="63"/>
      <c r="AL60" s="63"/>
      <c r="AM60" s="63"/>
      <c r="AN60" s="63"/>
      <c r="AO60" s="63"/>
      <c r="AP60" s="63"/>
    </row>
    <row r="61" spans="31:42" ht="33.75">
      <c r="AE61" s="70" t="s">
        <v>55</v>
      </c>
      <c r="AF61" s="71" t="s">
        <v>98</v>
      </c>
      <c r="AG61" s="97">
        <v>46152</v>
      </c>
      <c r="AH61" s="71">
        <v>1</v>
      </c>
      <c r="AI61" s="63"/>
      <c r="AJ61" s="63"/>
      <c r="AK61" s="63"/>
      <c r="AL61" s="63"/>
      <c r="AM61" s="63"/>
      <c r="AN61" s="63"/>
      <c r="AO61" s="63"/>
      <c r="AP61" s="63"/>
    </row>
    <row r="62" spans="31:42" ht="33.75">
      <c r="AE62" s="74" t="s">
        <v>55</v>
      </c>
      <c r="AF62" s="75" t="s">
        <v>98</v>
      </c>
      <c r="AG62" s="96">
        <v>46315</v>
      </c>
      <c r="AH62" s="75">
        <v>0</v>
      </c>
      <c r="AI62" s="63"/>
      <c r="AJ62" s="63"/>
      <c r="AK62" s="63"/>
      <c r="AL62" s="63"/>
      <c r="AM62" s="63"/>
      <c r="AN62" s="63"/>
      <c r="AO62" s="63"/>
      <c r="AP62" s="63"/>
    </row>
    <row r="63" spans="31:42" ht="33.75">
      <c r="AE63" s="70" t="s">
        <v>55</v>
      </c>
      <c r="AF63" s="71" t="s">
        <v>98</v>
      </c>
      <c r="AG63" s="71" t="s">
        <v>80</v>
      </c>
      <c r="AH63" s="71">
        <v>0</v>
      </c>
      <c r="AI63" s="63"/>
      <c r="AJ63" s="63"/>
      <c r="AK63" s="63"/>
      <c r="AL63" s="63"/>
      <c r="AM63" s="63"/>
      <c r="AN63" s="63"/>
      <c r="AO63" s="63"/>
      <c r="AP63" s="63"/>
    </row>
    <row r="64" spans="31:42" ht="33.75">
      <c r="AE64" s="74" t="s">
        <v>55</v>
      </c>
      <c r="AF64" s="75" t="s">
        <v>98</v>
      </c>
      <c r="AG64" s="75" t="s">
        <v>86</v>
      </c>
      <c r="AH64" s="75">
        <v>0</v>
      </c>
      <c r="AI64" s="63"/>
      <c r="AJ64" s="63"/>
      <c r="AK64" s="63"/>
      <c r="AL64" s="63"/>
      <c r="AM64" s="63"/>
      <c r="AN64" s="63"/>
      <c r="AO64" s="63"/>
      <c r="AP64" s="63"/>
    </row>
    <row r="65" spans="31:42" ht="33.75">
      <c r="AE65" s="70" t="s">
        <v>55</v>
      </c>
      <c r="AF65" s="71" t="s">
        <v>98</v>
      </c>
      <c r="AG65" s="71" t="s">
        <v>54</v>
      </c>
      <c r="AH65" s="71">
        <v>1</v>
      </c>
      <c r="AI65" s="63"/>
      <c r="AJ65" s="63"/>
      <c r="AK65" s="63"/>
      <c r="AL65" s="63"/>
      <c r="AM65" s="63"/>
      <c r="AN65" s="63"/>
      <c r="AO65" s="63"/>
      <c r="AP65" s="63"/>
    </row>
    <row r="66" spans="31:42" ht="33.75">
      <c r="AE66" s="74" t="s">
        <v>55</v>
      </c>
      <c r="AF66" s="75" t="s">
        <v>83</v>
      </c>
      <c r="AG66" s="75" t="s">
        <v>57</v>
      </c>
      <c r="AH66" s="75">
        <v>27</v>
      </c>
      <c r="AI66" s="63"/>
      <c r="AJ66" s="63"/>
      <c r="AK66" s="63"/>
      <c r="AL66" s="63"/>
      <c r="AM66" s="63"/>
      <c r="AN66" s="63"/>
      <c r="AO66" s="63"/>
      <c r="AP66" s="63"/>
    </row>
    <row r="67" spans="31:42" ht="33.75">
      <c r="AE67" s="70" t="s">
        <v>55</v>
      </c>
      <c r="AF67" s="71" t="s">
        <v>83</v>
      </c>
      <c r="AG67" s="97">
        <v>46086</v>
      </c>
      <c r="AH67" s="71">
        <v>2</v>
      </c>
      <c r="AI67" s="63"/>
      <c r="AJ67" s="63"/>
      <c r="AK67" s="63"/>
      <c r="AL67" s="63"/>
      <c r="AM67" s="63"/>
      <c r="AN67" s="63"/>
      <c r="AO67" s="63"/>
      <c r="AP67" s="63"/>
    </row>
    <row r="68" spans="31:42" ht="33.75">
      <c r="AE68" s="74" t="s">
        <v>55</v>
      </c>
      <c r="AF68" s="75" t="s">
        <v>83</v>
      </c>
      <c r="AG68" s="96">
        <v>46152</v>
      </c>
      <c r="AH68" s="75">
        <v>5</v>
      </c>
      <c r="AI68" s="63"/>
      <c r="AJ68" s="63"/>
      <c r="AK68" s="63"/>
      <c r="AL68" s="63"/>
      <c r="AM68" s="63"/>
      <c r="AN68" s="63"/>
      <c r="AO68" s="63"/>
      <c r="AP68" s="63"/>
    </row>
    <row r="69" spans="31:42" ht="33.75">
      <c r="AE69" s="70" t="s">
        <v>55</v>
      </c>
      <c r="AF69" s="71" t="s">
        <v>83</v>
      </c>
      <c r="AG69" s="97">
        <v>46315</v>
      </c>
      <c r="AH69" s="71">
        <v>3</v>
      </c>
      <c r="AI69" s="63"/>
      <c r="AJ69" s="63"/>
      <c r="AK69" s="63"/>
      <c r="AL69" s="63"/>
      <c r="AM69" s="63"/>
      <c r="AN69" s="63"/>
      <c r="AO69" s="63"/>
      <c r="AP69" s="63"/>
    </row>
    <row r="70" spans="31:42" ht="33.75">
      <c r="AE70" s="74" t="s">
        <v>55</v>
      </c>
      <c r="AF70" s="75" t="s">
        <v>83</v>
      </c>
      <c r="AG70" s="75" t="s">
        <v>80</v>
      </c>
      <c r="AH70" s="75">
        <v>1</v>
      </c>
      <c r="AI70" s="63"/>
      <c r="AJ70" s="63"/>
      <c r="AK70" s="63"/>
      <c r="AL70" s="63"/>
      <c r="AM70" s="63"/>
      <c r="AN70" s="63"/>
      <c r="AO70" s="63"/>
      <c r="AP70" s="63"/>
    </row>
    <row r="71" spans="31:42" ht="33.75">
      <c r="AE71" s="70" t="s">
        <v>55</v>
      </c>
      <c r="AF71" s="71" t="s">
        <v>83</v>
      </c>
      <c r="AG71" s="71" t="s">
        <v>86</v>
      </c>
      <c r="AH71" s="71">
        <v>1</v>
      </c>
      <c r="AI71" s="63"/>
      <c r="AJ71" s="63"/>
      <c r="AK71" s="63"/>
      <c r="AL71" s="63"/>
      <c r="AM71" s="63"/>
      <c r="AN71" s="63"/>
      <c r="AO71" s="63"/>
      <c r="AP71" s="63"/>
    </row>
    <row r="72" spans="31:42" ht="33.75">
      <c r="AE72" s="74" t="s">
        <v>55</v>
      </c>
      <c r="AF72" s="75" t="s">
        <v>83</v>
      </c>
      <c r="AG72" s="75" t="s">
        <v>54</v>
      </c>
      <c r="AH72" s="75">
        <v>39</v>
      </c>
      <c r="AI72" s="63"/>
      <c r="AJ72" s="63"/>
      <c r="AK72" s="63"/>
      <c r="AL72" s="63"/>
      <c r="AM72" s="63"/>
      <c r="AN72" s="63"/>
      <c r="AO72" s="63"/>
      <c r="AP72" s="63"/>
    </row>
    <row r="73" spans="31:42" ht="33.75">
      <c r="AE73" s="70" t="s">
        <v>42</v>
      </c>
      <c r="AF73" s="71" t="s">
        <v>98</v>
      </c>
      <c r="AG73" s="71" t="s">
        <v>57</v>
      </c>
      <c r="AH73" s="71">
        <v>22</v>
      </c>
      <c r="AI73" s="63"/>
      <c r="AJ73" s="63"/>
      <c r="AK73" s="63"/>
      <c r="AL73" s="63"/>
      <c r="AM73" s="63"/>
      <c r="AN73" s="63"/>
      <c r="AO73" s="63"/>
      <c r="AP73" s="63"/>
    </row>
    <row r="74" spans="31:42" ht="33.75">
      <c r="AE74" s="74" t="s">
        <v>42</v>
      </c>
      <c r="AF74" s="75" t="s">
        <v>98</v>
      </c>
      <c r="AG74" s="96">
        <v>46086</v>
      </c>
      <c r="AH74" s="75">
        <v>0</v>
      </c>
      <c r="AI74" s="63"/>
      <c r="AJ74" s="63"/>
      <c r="AK74" s="63"/>
      <c r="AL74" s="63"/>
      <c r="AM74" s="63"/>
      <c r="AN74" s="63"/>
      <c r="AO74" s="63"/>
      <c r="AP74" s="63"/>
    </row>
    <row r="75" spans="31:42" ht="33.75">
      <c r="AE75" s="70" t="s">
        <v>42</v>
      </c>
      <c r="AF75" s="71" t="s">
        <v>98</v>
      </c>
      <c r="AG75" s="97">
        <v>46152</v>
      </c>
      <c r="AH75" s="71">
        <v>12</v>
      </c>
      <c r="AI75" s="63"/>
      <c r="AJ75" s="63"/>
      <c r="AK75" s="63"/>
      <c r="AL75" s="63"/>
      <c r="AM75" s="63"/>
      <c r="AN75" s="63"/>
      <c r="AO75" s="63"/>
      <c r="AP75" s="63"/>
    </row>
    <row r="76" spans="31:42" ht="33.75">
      <c r="AE76" s="74" t="s">
        <v>42</v>
      </c>
      <c r="AF76" s="75" t="s">
        <v>98</v>
      </c>
      <c r="AG76" s="96">
        <v>46315</v>
      </c>
      <c r="AH76" s="75">
        <v>1</v>
      </c>
      <c r="AI76" s="63"/>
      <c r="AJ76" s="63"/>
      <c r="AK76" s="63"/>
      <c r="AL76" s="63"/>
      <c r="AM76" s="63"/>
      <c r="AN76" s="63"/>
      <c r="AO76" s="63"/>
      <c r="AP76" s="63"/>
    </row>
    <row r="77" spans="31:42" ht="33.75">
      <c r="AE77" s="70" t="s">
        <v>42</v>
      </c>
      <c r="AF77" s="71" t="s">
        <v>98</v>
      </c>
      <c r="AG77" s="71" t="s">
        <v>80</v>
      </c>
      <c r="AH77" s="71">
        <v>3</v>
      </c>
      <c r="AI77" s="63"/>
      <c r="AJ77" s="63"/>
      <c r="AK77" s="63"/>
      <c r="AL77" s="63"/>
      <c r="AM77" s="63"/>
      <c r="AN77" s="63"/>
      <c r="AO77" s="63"/>
      <c r="AP77" s="63"/>
    </row>
    <row r="78" spans="31:42" ht="33.75">
      <c r="AE78" s="74" t="s">
        <v>42</v>
      </c>
      <c r="AF78" s="75" t="s">
        <v>98</v>
      </c>
      <c r="AG78" s="75" t="s">
        <v>99</v>
      </c>
      <c r="AH78" s="75">
        <v>3</v>
      </c>
      <c r="AI78" s="63"/>
      <c r="AJ78" s="63"/>
      <c r="AK78" s="63"/>
      <c r="AL78" s="63"/>
      <c r="AM78" s="63"/>
      <c r="AN78" s="63"/>
      <c r="AO78" s="63"/>
      <c r="AP78" s="63"/>
    </row>
    <row r="79" spans="31:42" ht="33.75">
      <c r="AE79" s="70" t="s">
        <v>42</v>
      </c>
      <c r="AF79" s="71" t="s">
        <v>98</v>
      </c>
      <c r="AG79" s="71" t="s">
        <v>100</v>
      </c>
      <c r="AH79" s="71">
        <v>1</v>
      </c>
      <c r="AI79" s="63"/>
      <c r="AJ79" s="63"/>
      <c r="AK79" s="63"/>
      <c r="AL79" s="63"/>
      <c r="AM79" s="63"/>
      <c r="AN79" s="63"/>
      <c r="AO79" s="63"/>
      <c r="AP79" s="63"/>
    </row>
    <row r="80" spans="31:42" ht="33.75">
      <c r="AE80" s="74" t="s">
        <v>42</v>
      </c>
      <c r="AF80" s="75" t="s">
        <v>98</v>
      </c>
      <c r="AG80" s="75" t="s">
        <v>86</v>
      </c>
      <c r="AH80" s="75">
        <v>15</v>
      </c>
      <c r="AI80" s="63"/>
      <c r="AJ80" s="63"/>
      <c r="AK80" s="63"/>
      <c r="AL80" s="63"/>
      <c r="AM80" s="63"/>
      <c r="AN80" s="63"/>
      <c r="AO80" s="63"/>
      <c r="AP80" s="63"/>
    </row>
    <row r="81" spans="31:42" ht="33.75">
      <c r="AE81" s="70" t="s">
        <v>42</v>
      </c>
      <c r="AF81" s="71" t="s">
        <v>98</v>
      </c>
      <c r="AG81" s="71" t="s">
        <v>54</v>
      </c>
      <c r="AH81" s="71">
        <v>57</v>
      </c>
      <c r="AI81" s="63"/>
      <c r="AJ81" s="63"/>
      <c r="AK81" s="63"/>
      <c r="AL81" s="63"/>
      <c r="AM81" s="63"/>
      <c r="AN81" s="63"/>
      <c r="AO81" s="63"/>
      <c r="AP81" s="63"/>
    </row>
    <row r="82" spans="31:42" ht="50.25">
      <c r="AE82" s="74" t="s">
        <v>42</v>
      </c>
      <c r="AF82" s="75" t="s">
        <v>92</v>
      </c>
      <c r="AG82" s="75" t="s">
        <v>57</v>
      </c>
      <c r="AH82" s="75">
        <v>11</v>
      </c>
      <c r="AI82" s="63"/>
      <c r="AJ82" s="63"/>
      <c r="AK82" s="63"/>
      <c r="AL82" s="63"/>
      <c r="AM82" s="63"/>
      <c r="AN82" s="63"/>
      <c r="AO82" s="63"/>
      <c r="AP82" s="63"/>
    </row>
    <row r="83" spans="31:42" ht="50.25">
      <c r="AE83" s="70" t="s">
        <v>42</v>
      </c>
      <c r="AF83" s="71" t="s">
        <v>92</v>
      </c>
      <c r="AG83" s="97">
        <v>46086</v>
      </c>
      <c r="AH83" s="71">
        <v>0</v>
      </c>
      <c r="AI83" s="63"/>
      <c r="AJ83" s="63"/>
      <c r="AK83" s="63"/>
      <c r="AL83" s="63"/>
      <c r="AM83" s="63"/>
      <c r="AN83" s="63"/>
      <c r="AO83" s="63"/>
      <c r="AP83" s="63"/>
    </row>
    <row r="84" spans="31:42" ht="50.25">
      <c r="AE84" s="74" t="s">
        <v>42</v>
      </c>
      <c r="AF84" s="75" t="s">
        <v>92</v>
      </c>
      <c r="AG84" s="96">
        <v>46152</v>
      </c>
      <c r="AH84" s="75">
        <v>7</v>
      </c>
      <c r="AI84" s="63"/>
      <c r="AJ84" s="63"/>
      <c r="AK84" s="63"/>
      <c r="AL84" s="63"/>
      <c r="AM84" s="63"/>
      <c r="AN84" s="63"/>
      <c r="AO84" s="63"/>
      <c r="AP84" s="63"/>
    </row>
    <row r="85" spans="31:42" ht="50.25">
      <c r="AE85" s="70" t="s">
        <v>42</v>
      </c>
      <c r="AF85" s="71" t="s">
        <v>92</v>
      </c>
      <c r="AG85" s="97">
        <v>46315</v>
      </c>
      <c r="AH85" s="71">
        <v>5</v>
      </c>
      <c r="AI85" s="63"/>
      <c r="AJ85" s="63"/>
      <c r="AK85" s="63"/>
      <c r="AL85" s="63"/>
      <c r="AM85" s="63"/>
      <c r="AN85" s="63"/>
      <c r="AO85" s="63"/>
      <c r="AP85" s="63"/>
    </row>
    <row r="86" spans="31:42" ht="50.25">
      <c r="AE86" s="74" t="s">
        <v>42</v>
      </c>
      <c r="AF86" s="75" t="s">
        <v>92</v>
      </c>
      <c r="AG86" s="75" t="s">
        <v>80</v>
      </c>
      <c r="AH86" s="75">
        <v>8</v>
      </c>
      <c r="AI86" s="63"/>
      <c r="AJ86" s="63"/>
      <c r="AK86" s="63"/>
      <c r="AL86" s="63"/>
      <c r="AM86" s="63"/>
      <c r="AN86" s="63"/>
      <c r="AO86" s="63"/>
      <c r="AP86" s="63"/>
    </row>
    <row r="87" spans="31:42" ht="50.25">
      <c r="AE87" s="70" t="s">
        <v>42</v>
      </c>
      <c r="AF87" s="71" t="s">
        <v>92</v>
      </c>
      <c r="AG87" s="71" t="s">
        <v>99</v>
      </c>
      <c r="AH87" s="71">
        <v>5</v>
      </c>
      <c r="AI87" s="63"/>
      <c r="AJ87" s="63"/>
      <c r="AK87" s="63"/>
      <c r="AL87" s="63"/>
      <c r="AM87" s="63"/>
      <c r="AN87" s="63"/>
      <c r="AO87" s="63"/>
      <c r="AP87" s="63"/>
    </row>
    <row r="88" spans="31:42" ht="50.25">
      <c r="AE88" s="74" t="s">
        <v>42</v>
      </c>
      <c r="AF88" s="75" t="s">
        <v>92</v>
      </c>
      <c r="AG88" s="75" t="s">
        <v>100</v>
      </c>
      <c r="AH88" s="75">
        <v>0</v>
      </c>
      <c r="AI88" s="63"/>
      <c r="AJ88" s="63"/>
      <c r="AK88" s="63"/>
      <c r="AL88" s="63"/>
      <c r="AM88" s="63"/>
      <c r="AN88" s="63"/>
      <c r="AO88" s="63"/>
      <c r="AP88" s="63"/>
    </row>
    <row r="89" spans="31:42" ht="50.25">
      <c r="AE89" s="70" t="s">
        <v>42</v>
      </c>
      <c r="AF89" s="71" t="s">
        <v>92</v>
      </c>
      <c r="AG89" s="71" t="s">
        <v>86</v>
      </c>
      <c r="AH89" s="71">
        <v>0</v>
      </c>
      <c r="AI89" s="63"/>
      <c r="AJ89" s="63"/>
      <c r="AK89" s="63"/>
      <c r="AL89" s="63"/>
      <c r="AM89" s="63"/>
      <c r="AN89" s="63"/>
      <c r="AO89" s="63"/>
      <c r="AP89" s="63"/>
    </row>
    <row r="90" spans="31:42" ht="50.25">
      <c r="AE90" s="74" t="s">
        <v>42</v>
      </c>
      <c r="AF90" s="75" t="s">
        <v>92</v>
      </c>
      <c r="AG90" s="75" t="s">
        <v>54</v>
      </c>
      <c r="AH90" s="75">
        <v>36</v>
      </c>
      <c r="AI90" s="63"/>
      <c r="AJ90" s="63"/>
      <c r="AK90" s="63"/>
      <c r="AL90" s="63"/>
      <c r="AM90" s="63"/>
      <c r="AN90" s="63"/>
      <c r="AO90" s="63"/>
      <c r="AP90" s="63"/>
    </row>
    <row r="91" spans="31:42" ht="50.25">
      <c r="AE91" s="70" t="s">
        <v>42</v>
      </c>
      <c r="AF91" s="71" t="s">
        <v>56</v>
      </c>
      <c r="AG91" s="71" t="s">
        <v>57</v>
      </c>
      <c r="AH91" s="71">
        <v>5</v>
      </c>
      <c r="AI91" s="63"/>
      <c r="AJ91" s="63"/>
      <c r="AK91" s="63"/>
      <c r="AL91" s="63"/>
      <c r="AM91" s="63"/>
      <c r="AN91" s="63"/>
      <c r="AO91" s="63"/>
      <c r="AP91" s="63"/>
    </row>
    <row r="92" spans="31:42" ht="50.25">
      <c r="AE92" s="74" t="s">
        <v>42</v>
      </c>
      <c r="AF92" s="75" t="s">
        <v>56</v>
      </c>
      <c r="AG92" s="96">
        <v>46086</v>
      </c>
      <c r="AH92" s="75">
        <v>0</v>
      </c>
      <c r="AI92" s="63"/>
      <c r="AJ92" s="63"/>
      <c r="AK92" s="63"/>
      <c r="AL92" s="63"/>
      <c r="AM92" s="63"/>
      <c r="AN92" s="63"/>
      <c r="AO92" s="63"/>
      <c r="AP92" s="63"/>
    </row>
    <row r="93" spans="31:42" ht="50.25">
      <c r="AE93" s="70" t="s">
        <v>42</v>
      </c>
      <c r="AF93" s="71" t="s">
        <v>56</v>
      </c>
      <c r="AG93" s="97">
        <v>46152</v>
      </c>
      <c r="AH93" s="71">
        <v>6</v>
      </c>
      <c r="AI93" s="63"/>
      <c r="AJ93" s="63"/>
      <c r="AK93" s="63"/>
      <c r="AL93" s="63"/>
      <c r="AM93" s="63"/>
      <c r="AN93" s="63"/>
      <c r="AO93" s="63"/>
      <c r="AP93" s="63"/>
    </row>
    <row r="94" spans="31:42" ht="50.25">
      <c r="AE94" s="74" t="s">
        <v>42</v>
      </c>
      <c r="AF94" s="75" t="s">
        <v>56</v>
      </c>
      <c r="AG94" s="96">
        <v>46315</v>
      </c>
      <c r="AH94" s="75">
        <v>7</v>
      </c>
      <c r="AI94" s="63"/>
      <c r="AJ94" s="63"/>
      <c r="AK94" s="63"/>
      <c r="AL94" s="63"/>
      <c r="AM94" s="63"/>
      <c r="AN94" s="63"/>
      <c r="AO94" s="63"/>
      <c r="AP94" s="63"/>
    </row>
    <row r="95" spans="31:42" ht="50.25">
      <c r="AE95" s="70" t="s">
        <v>42</v>
      </c>
      <c r="AF95" s="71" t="s">
        <v>56</v>
      </c>
      <c r="AG95" s="71" t="s">
        <v>80</v>
      </c>
      <c r="AH95" s="71">
        <v>3</v>
      </c>
      <c r="AI95" s="63"/>
      <c r="AJ95" s="63"/>
      <c r="AK95" s="63"/>
      <c r="AL95" s="63"/>
      <c r="AM95" s="63"/>
      <c r="AN95" s="63"/>
      <c r="AO95" s="63"/>
      <c r="AP95" s="63"/>
    </row>
    <row r="96" spans="31:42" ht="50.25">
      <c r="AE96" s="74" t="s">
        <v>42</v>
      </c>
      <c r="AF96" s="75" t="s">
        <v>56</v>
      </c>
      <c r="AG96" s="75" t="s">
        <v>99</v>
      </c>
      <c r="AH96" s="75">
        <v>1</v>
      </c>
      <c r="AI96" s="63"/>
      <c r="AJ96" s="63"/>
      <c r="AK96" s="63"/>
      <c r="AL96" s="63"/>
      <c r="AM96" s="63"/>
      <c r="AN96" s="63"/>
      <c r="AO96" s="63"/>
      <c r="AP96" s="63"/>
    </row>
    <row r="97" spans="31:42" ht="50.25">
      <c r="AE97" s="70" t="s">
        <v>42</v>
      </c>
      <c r="AF97" s="71" t="s">
        <v>56</v>
      </c>
      <c r="AG97" s="71" t="s">
        <v>100</v>
      </c>
      <c r="AH97" s="71">
        <v>0</v>
      </c>
      <c r="AI97" s="63"/>
      <c r="AJ97" s="63"/>
      <c r="AK97" s="63"/>
      <c r="AL97" s="63"/>
      <c r="AM97" s="63"/>
      <c r="AN97" s="63"/>
      <c r="AO97" s="63"/>
      <c r="AP97" s="63"/>
    </row>
    <row r="98" spans="31:42" ht="50.25">
      <c r="AE98" s="74" t="s">
        <v>42</v>
      </c>
      <c r="AF98" s="75" t="s">
        <v>56</v>
      </c>
      <c r="AG98" s="75" t="s">
        <v>86</v>
      </c>
      <c r="AH98" s="75">
        <v>0</v>
      </c>
      <c r="AI98" s="63"/>
      <c r="AJ98" s="63"/>
      <c r="AK98" s="63"/>
      <c r="AL98" s="63"/>
      <c r="AM98" s="63"/>
      <c r="AN98" s="63"/>
      <c r="AO98" s="63"/>
      <c r="AP98" s="63"/>
    </row>
    <row r="99" spans="31:42" ht="50.25">
      <c r="AE99" s="70" t="s">
        <v>42</v>
      </c>
      <c r="AF99" s="71" t="s">
        <v>56</v>
      </c>
      <c r="AG99" s="71" t="s">
        <v>54</v>
      </c>
      <c r="AH99" s="71">
        <v>22</v>
      </c>
      <c r="AI99" s="63"/>
      <c r="AJ99" s="63"/>
      <c r="AK99" s="63"/>
      <c r="AL99" s="63"/>
      <c r="AM99" s="63"/>
      <c r="AN99" s="63"/>
      <c r="AO99" s="63"/>
      <c r="AP99" s="63"/>
    </row>
    <row r="100" spans="31:42" ht="50.25">
      <c r="AE100" s="74" t="s">
        <v>42</v>
      </c>
      <c r="AF100" s="75" t="s">
        <v>96</v>
      </c>
      <c r="AG100" s="75" t="s">
        <v>57</v>
      </c>
      <c r="AH100" s="75">
        <v>12</v>
      </c>
      <c r="AI100" s="63"/>
      <c r="AJ100" s="63"/>
      <c r="AK100" s="63"/>
      <c r="AL100" s="63"/>
      <c r="AM100" s="63"/>
      <c r="AN100" s="63"/>
      <c r="AO100" s="63"/>
      <c r="AP100" s="63"/>
    </row>
    <row r="101" spans="31:42" ht="50.25">
      <c r="AE101" s="70" t="s">
        <v>42</v>
      </c>
      <c r="AF101" s="71" t="s">
        <v>96</v>
      </c>
      <c r="AG101" s="97">
        <v>46086</v>
      </c>
      <c r="AH101" s="71">
        <v>0</v>
      </c>
      <c r="AI101" s="63"/>
      <c r="AJ101" s="63"/>
      <c r="AK101" s="63"/>
      <c r="AL101" s="63"/>
      <c r="AM101" s="63"/>
      <c r="AN101" s="63"/>
      <c r="AO101" s="63"/>
      <c r="AP101" s="63"/>
    </row>
    <row r="102" spans="31:42" ht="50.25">
      <c r="AE102" s="74" t="s">
        <v>42</v>
      </c>
      <c r="AF102" s="75" t="s">
        <v>96</v>
      </c>
      <c r="AG102" s="96">
        <v>46152</v>
      </c>
      <c r="AH102" s="75">
        <v>3</v>
      </c>
      <c r="AI102" s="63"/>
      <c r="AJ102" s="63"/>
      <c r="AK102" s="63"/>
      <c r="AL102" s="63"/>
      <c r="AM102" s="63"/>
      <c r="AN102" s="63"/>
      <c r="AO102" s="63"/>
      <c r="AP102" s="63"/>
    </row>
    <row r="103" spans="31:42" ht="50.25">
      <c r="AE103" s="70" t="s">
        <v>42</v>
      </c>
      <c r="AF103" s="71" t="s">
        <v>96</v>
      </c>
      <c r="AG103" s="97">
        <v>46315</v>
      </c>
      <c r="AH103" s="71">
        <v>0</v>
      </c>
      <c r="AI103" s="63"/>
      <c r="AJ103" s="63"/>
      <c r="AK103" s="63"/>
      <c r="AL103" s="63"/>
      <c r="AM103" s="63"/>
      <c r="AN103" s="63"/>
      <c r="AO103" s="63"/>
      <c r="AP103" s="63"/>
    </row>
    <row r="104" spans="31:42" ht="50.25">
      <c r="AE104" s="74" t="s">
        <v>42</v>
      </c>
      <c r="AF104" s="75" t="s">
        <v>96</v>
      </c>
      <c r="AG104" s="75" t="s">
        <v>80</v>
      </c>
      <c r="AH104" s="75">
        <v>0</v>
      </c>
      <c r="AI104" s="63"/>
      <c r="AJ104" s="63"/>
      <c r="AK104" s="63"/>
      <c r="AL104" s="63"/>
      <c r="AM104" s="63"/>
      <c r="AN104" s="63"/>
      <c r="AO104" s="63"/>
      <c r="AP104" s="63"/>
    </row>
    <row r="105" spans="31:42" ht="50.25">
      <c r="AE105" s="70" t="s">
        <v>42</v>
      </c>
      <c r="AF105" s="71" t="s">
        <v>96</v>
      </c>
      <c r="AG105" s="71" t="s">
        <v>99</v>
      </c>
      <c r="AH105" s="71">
        <v>0</v>
      </c>
      <c r="AI105" s="63"/>
      <c r="AJ105" s="63"/>
      <c r="AK105" s="63"/>
      <c r="AL105" s="63"/>
      <c r="AM105" s="63"/>
      <c r="AN105" s="63"/>
      <c r="AO105" s="63"/>
      <c r="AP105" s="63"/>
    </row>
    <row r="106" spans="31:42" ht="50.25">
      <c r="AE106" s="74" t="s">
        <v>42</v>
      </c>
      <c r="AF106" s="75" t="s">
        <v>96</v>
      </c>
      <c r="AG106" s="75" t="s">
        <v>100</v>
      </c>
      <c r="AH106" s="75">
        <v>0</v>
      </c>
      <c r="AI106" s="63"/>
      <c r="AJ106" s="63"/>
      <c r="AK106" s="63"/>
      <c r="AL106" s="63"/>
      <c r="AM106" s="63"/>
      <c r="AN106" s="63"/>
      <c r="AO106" s="63"/>
      <c r="AP106" s="63"/>
    </row>
    <row r="107" spans="31:42" ht="50.25">
      <c r="AE107" s="70" t="s">
        <v>42</v>
      </c>
      <c r="AF107" s="71" t="s">
        <v>96</v>
      </c>
      <c r="AG107" s="71" t="s">
        <v>86</v>
      </c>
      <c r="AH107" s="71">
        <v>0</v>
      </c>
      <c r="AI107" s="63"/>
      <c r="AJ107" s="63"/>
      <c r="AK107" s="63"/>
      <c r="AL107" s="63"/>
      <c r="AM107" s="63"/>
      <c r="AN107" s="63"/>
      <c r="AO107" s="63"/>
      <c r="AP107" s="63"/>
    </row>
    <row r="108" spans="31:42" ht="50.25">
      <c r="AE108" s="74" t="s">
        <v>42</v>
      </c>
      <c r="AF108" s="75" t="s">
        <v>96</v>
      </c>
      <c r="AG108" s="75" t="s">
        <v>54</v>
      </c>
      <c r="AH108" s="75">
        <v>15</v>
      </c>
      <c r="AI108" s="63"/>
      <c r="AJ108" s="63"/>
      <c r="AK108" s="63"/>
      <c r="AL108" s="63"/>
      <c r="AM108" s="63"/>
      <c r="AN108" s="63"/>
      <c r="AO108" s="63"/>
      <c r="AP108" s="63"/>
    </row>
    <row r="109" spans="31:42" ht="66.75">
      <c r="AE109" s="70" t="s">
        <v>42</v>
      </c>
      <c r="AF109" s="71" t="s">
        <v>94</v>
      </c>
      <c r="AG109" s="71" t="s">
        <v>57</v>
      </c>
      <c r="AH109" s="71">
        <v>7</v>
      </c>
      <c r="AI109" s="63"/>
      <c r="AJ109" s="63"/>
      <c r="AK109" s="63"/>
      <c r="AL109" s="63"/>
      <c r="AM109" s="63"/>
      <c r="AN109" s="63"/>
      <c r="AO109" s="63"/>
      <c r="AP109" s="63"/>
    </row>
    <row r="110" spans="31:42" ht="66.75">
      <c r="AE110" s="74" t="s">
        <v>42</v>
      </c>
      <c r="AF110" s="75" t="s">
        <v>94</v>
      </c>
      <c r="AG110" s="96">
        <v>46086</v>
      </c>
      <c r="AH110" s="75">
        <v>1</v>
      </c>
      <c r="AI110" s="63"/>
      <c r="AJ110" s="63"/>
      <c r="AK110" s="63"/>
      <c r="AL110" s="63"/>
      <c r="AM110" s="63"/>
      <c r="AN110" s="63"/>
      <c r="AO110" s="63"/>
      <c r="AP110" s="63"/>
    </row>
    <row r="111" spans="31:42" ht="66.75">
      <c r="AE111" s="70" t="s">
        <v>42</v>
      </c>
      <c r="AF111" s="71" t="s">
        <v>94</v>
      </c>
      <c r="AG111" s="97">
        <v>46152</v>
      </c>
      <c r="AH111" s="71">
        <v>3</v>
      </c>
      <c r="AI111" s="63"/>
      <c r="AJ111" s="63"/>
      <c r="AK111" s="63"/>
      <c r="AL111" s="63"/>
      <c r="AM111" s="63"/>
      <c r="AN111" s="63"/>
      <c r="AO111" s="63"/>
      <c r="AP111" s="63"/>
    </row>
    <row r="112" spans="31:42" ht="66.75">
      <c r="AE112" s="74" t="s">
        <v>42</v>
      </c>
      <c r="AF112" s="75" t="s">
        <v>94</v>
      </c>
      <c r="AG112" s="96">
        <v>46315</v>
      </c>
      <c r="AH112" s="75">
        <v>1</v>
      </c>
      <c r="AI112" s="63"/>
      <c r="AJ112" s="63"/>
      <c r="AK112" s="63"/>
      <c r="AL112" s="63"/>
      <c r="AM112" s="63"/>
      <c r="AN112" s="63"/>
      <c r="AO112" s="63"/>
      <c r="AP112" s="63"/>
    </row>
    <row r="113" spans="31:42" ht="66.75">
      <c r="AE113" s="70" t="s">
        <v>42</v>
      </c>
      <c r="AF113" s="71" t="s">
        <v>94</v>
      </c>
      <c r="AG113" s="71" t="s">
        <v>80</v>
      </c>
      <c r="AH113" s="71">
        <v>0</v>
      </c>
      <c r="AI113" s="63"/>
      <c r="AJ113" s="63"/>
      <c r="AK113" s="63"/>
      <c r="AL113" s="63"/>
      <c r="AM113" s="63"/>
      <c r="AN113" s="63"/>
      <c r="AO113" s="63"/>
      <c r="AP113" s="63"/>
    </row>
    <row r="114" spans="31:42" ht="66.75">
      <c r="AE114" s="74" t="s">
        <v>42</v>
      </c>
      <c r="AF114" s="75" t="s">
        <v>94</v>
      </c>
      <c r="AG114" s="75" t="s">
        <v>99</v>
      </c>
      <c r="AH114" s="75">
        <v>0</v>
      </c>
      <c r="AI114" s="63"/>
      <c r="AJ114" s="63"/>
      <c r="AK114" s="63"/>
      <c r="AL114" s="63"/>
      <c r="AM114" s="63"/>
      <c r="AN114" s="63"/>
      <c r="AO114" s="63"/>
      <c r="AP114" s="63"/>
    </row>
    <row r="115" spans="31:42" ht="66.75">
      <c r="AE115" s="70" t="s">
        <v>42</v>
      </c>
      <c r="AF115" s="71" t="s">
        <v>94</v>
      </c>
      <c r="AG115" s="71" t="s">
        <v>100</v>
      </c>
      <c r="AH115" s="71">
        <v>0</v>
      </c>
      <c r="AI115" s="63"/>
      <c r="AJ115" s="63"/>
      <c r="AK115" s="63"/>
      <c r="AL115" s="63"/>
      <c r="AM115" s="63"/>
      <c r="AN115" s="63"/>
      <c r="AO115" s="63"/>
      <c r="AP115" s="63"/>
    </row>
    <row r="116" spans="31:42" ht="66.75">
      <c r="AE116" s="74" t="s">
        <v>42</v>
      </c>
      <c r="AF116" s="75" t="s">
        <v>94</v>
      </c>
      <c r="AG116" s="75" t="s">
        <v>86</v>
      </c>
      <c r="AH116" s="75">
        <v>0</v>
      </c>
      <c r="AI116" s="63"/>
      <c r="AJ116" s="63"/>
      <c r="AK116" s="63"/>
      <c r="AL116" s="63"/>
      <c r="AM116" s="63"/>
      <c r="AN116" s="63"/>
      <c r="AO116" s="63"/>
      <c r="AP116" s="63"/>
    </row>
    <row r="117" spans="31:42" ht="66.75">
      <c r="AE117" s="70" t="s">
        <v>42</v>
      </c>
      <c r="AF117" s="71" t="s">
        <v>94</v>
      </c>
      <c r="AG117" s="71" t="s">
        <v>54</v>
      </c>
      <c r="AH117" s="71">
        <v>12</v>
      </c>
      <c r="AI117" s="63"/>
      <c r="AJ117" s="63"/>
      <c r="AK117" s="63"/>
      <c r="AL117" s="63"/>
      <c r="AM117" s="63"/>
      <c r="AN117" s="63"/>
      <c r="AO117" s="63"/>
      <c r="AP117" s="63"/>
    </row>
    <row r="118" spans="31:42" ht="33.75">
      <c r="AE118" s="74" t="s">
        <v>42</v>
      </c>
      <c r="AF118" s="75" t="s">
        <v>95</v>
      </c>
      <c r="AG118" s="75" t="s">
        <v>57</v>
      </c>
      <c r="AH118" s="75">
        <v>6</v>
      </c>
      <c r="AI118" s="63"/>
      <c r="AJ118" s="63"/>
      <c r="AK118" s="63"/>
      <c r="AL118" s="63"/>
      <c r="AM118" s="63"/>
      <c r="AN118" s="63"/>
      <c r="AO118" s="63"/>
      <c r="AP118" s="63"/>
    </row>
    <row r="119" spans="31:42" ht="33.75">
      <c r="AE119" s="70" t="s">
        <v>42</v>
      </c>
      <c r="AF119" s="71" t="s">
        <v>95</v>
      </c>
      <c r="AG119" s="97">
        <v>46086</v>
      </c>
      <c r="AH119" s="71">
        <v>0</v>
      </c>
      <c r="AI119" s="63"/>
      <c r="AJ119" s="63"/>
      <c r="AK119" s="63"/>
      <c r="AL119" s="63"/>
      <c r="AM119" s="63"/>
      <c r="AN119" s="63"/>
      <c r="AO119" s="63"/>
      <c r="AP119" s="63"/>
    </row>
    <row r="120" spans="31:42" ht="33.75">
      <c r="AE120" s="74" t="s">
        <v>42</v>
      </c>
      <c r="AF120" s="75" t="s">
        <v>95</v>
      </c>
      <c r="AG120" s="96">
        <v>46152</v>
      </c>
      <c r="AH120" s="75">
        <v>4</v>
      </c>
      <c r="AI120" s="63"/>
      <c r="AJ120" s="63"/>
      <c r="AK120" s="63"/>
      <c r="AL120" s="63"/>
      <c r="AM120" s="63"/>
      <c r="AN120" s="63"/>
      <c r="AO120" s="63"/>
      <c r="AP120" s="63"/>
    </row>
    <row r="121" spans="31:42" ht="33.75">
      <c r="AE121" s="70" t="s">
        <v>42</v>
      </c>
      <c r="AF121" s="71" t="s">
        <v>95</v>
      </c>
      <c r="AG121" s="97">
        <v>46315</v>
      </c>
      <c r="AH121" s="71">
        <v>0</v>
      </c>
      <c r="AI121" s="63"/>
      <c r="AJ121" s="63"/>
      <c r="AK121" s="63"/>
      <c r="AL121" s="63"/>
      <c r="AM121" s="63"/>
      <c r="AN121" s="63"/>
      <c r="AO121" s="63"/>
      <c r="AP121" s="63"/>
    </row>
    <row r="122" spans="31:42" ht="33.75">
      <c r="AE122" s="74" t="s">
        <v>42</v>
      </c>
      <c r="AF122" s="75" t="s">
        <v>95</v>
      </c>
      <c r="AG122" s="75" t="s">
        <v>80</v>
      </c>
      <c r="AH122" s="75">
        <v>0</v>
      </c>
      <c r="AI122" s="63"/>
      <c r="AJ122" s="63"/>
      <c r="AK122" s="63"/>
      <c r="AL122" s="63"/>
      <c r="AM122" s="63"/>
      <c r="AN122" s="63"/>
      <c r="AO122" s="63"/>
      <c r="AP122" s="63"/>
    </row>
    <row r="123" spans="31:42" ht="33.75">
      <c r="AE123" s="70" t="s">
        <v>42</v>
      </c>
      <c r="AF123" s="71" t="s">
        <v>95</v>
      </c>
      <c r="AG123" s="71" t="s">
        <v>99</v>
      </c>
      <c r="AH123" s="71">
        <v>0</v>
      </c>
      <c r="AI123" s="63"/>
      <c r="AJ123" s="63"/>
      <c r="AK123" s="63"/>
      <c r="AL123" s="63"/>
      <c r="AM123" s="63"/>
      <c r="AN123" s="63"/>
      <c r="AO123" s="63"/>
      <c r="AP123" s="63"/>
    </row>
    <row r="124" spans="31:42" ht="33.75">
      <c r="AE124" s="74" t="s">
        <v>42</v>
      </c>
      <c r="AF124" s="75" t="s">
        <v>95</v>
      </c>
      <c r="AG124" s="75" t="s">
        <v>100</v>
      </c>
      <c r="AH124" s="75">
        <v>0</v>
      </c>
      <c r="AI124" s="63"/>
      <c r="AJ124" s="63"/>
      <c r="AK124" s="63"/>
      <c r="AL124" s="63"/>
      <c r="AM124" s="63"/>
      <c r="AN124" s="63"/>
      <c r="AO124" s="63"/>
      <c r="AP124" s="63"/>
    </row>
    <row r="125" spans="31:42" ht="33.75">
      <c r="AE125" s="70" t="s">
        <v>42</v>
      </c>
      <c r="AF125" s="71" t="s">
        <v>95</v>
      </c>
      <c r="AG125" s="71" t="s">
        <v>86</v>
      </c>
      <c r="AH125" s="71">
        <v>0</v>
      </c>
      <c r="AI125" s="63"/>
      <c r="AJ125" s="63"/>
      <c r="AK125" s="63"/>
      <c r="AL125" s="63"/>
      <c r="AM125" s="63"/>
      <c r="AN125" s="63"/>
      <c r="AO125" s="63"/>
      <c r="AP125" s="63"/>
    </row>
    <row r="126" spans="31:42" ht="33.75">
      <c r="AE126" s="74" t="s">
        <v>42</v>
      </c>
      <c r="AF126" s="75" t="s">
        <v>95</v>
      </c>
      <c r="AG126" s="75" t="s">
        <v>54</v>
      </c>
      <c r="AH126" s="75">
        <v>10</v>
      </c>
      <c r="AI126" s="63"/>
      <c r="AJ126" s="63"/>
      <c r="AK126" s="63"/>
      <c r="AL126" s="63"/>
      <c r="AM126" s="63"/>
      <c r="AN126" s="63"/>
      <c r="AO126" s="63"/>
      <c r="AP126" s="63"/>
    </row>
    <row r="127" spans="31:42" ht="50.25">
      <c r="AE127" s="70" t="s">
        <v>42</v>
      </c>
      <c r="AF127" s="71" t="s">
        <v>91</v>
      </c>
      <c r="AG127" s="71" t="s">
        <v>57</v>
      </c>
      <c r="AH127" s="71">
        <v>6</v>
      </c>
      <c r="AI127" s="63"/>
      <c r="AJ127" s="63"/>
      <c r="AK127" s="63"/>
      <c r="AL127" s="63"/>
      <c r="AM127" s="63"/>
      <c r="AN127" s="63"/>
      <c r="AO127" s="63"/>
      <c r="AP127" s="63"/>
    </row>
    <row r="128" spans="31:42" ht="50.25">
      <c r="AE128" s="74" t="s">
        <v>42</v>
      </c>
      <c r="AF128" s="75" t="s">
        <v>91</v>
      </c>
      <c r="AG128" s="96">
        <v>46086</v>
      </c>
      <c r="AH128" s="75">
        <v>0</v>
      </c>
      <c r="AI128" s="63"/>
      <c r="AJ128" s="63"/>
      <c r="AK128" s="63"/>
      <c r="AL128" s="63"/>
      <c r="AM128" s="63"/>
      <c r="AN128" s="63"/>
      <c r="AO128" s="63"/>
      <c r="AP128" s="63"/>
    </row>
    <row r="129" spans="31:42" ht="50.25">
      <c r="AE129" s="70" t="s">
        <v>42</v>
      </c>
      <c r="AF129" s="71" t="s">
        <v>91</v>
      </c>
      <c r="AG129" s="97">
        <v>46152</v>
      </c>
      <c r="AH129" s="71">
        <v>0</v>
      </c>
      <c r="AI129" s="63"/>
      <c r="AJ129" s="63"/>
      <c r="AK129" s="63"/>
      <c r="AL129" s="63"/>
      <c r="AM129" s="63"/>
      <c r="AN129" s="63"/>
      <c r="AO129" s="63"/>
      <c r="AP129" s="63"/>
    </row>
    <row r="130" spans="31:42" ht="50.25">
      <c r="AE130" s="74" t="s">
        <v>42</v>
      </c>
      <c r="AF130" s="75" t="s">
        <v>91</v>
      </c>
      <c r="AG130" s="96">
        <v>46315</v>
      </c>
      <c r="AH130" s="75">
        <v>0</v>
      </c>
      <c r="AI130" s="63"/>
      <c r="AJ130" s="63"/>
      <c r="AK130" s="63"/>
      <c r="AL130" s="63"/>
      <c r="AM130" s="63"/>
      <c r="AN130" s="63"/>
      <c r="AO130" s="63"/>
      <c r="AP130" s="63"/>
    </row>
    <row r="131" spans="31:42" ht="50.25">
      <c r="AE131" s="70" t="s">
        <v>42</v>
      </c>
      <c r="AF131" s="71" t="s">
        <v>91</v>
      </c>
      <c r="AG131" s="71" t="s">
        <v>80</v>
      </c>
      <c r="AH131" s="71">
        <v>0</v>
      </c>
      <c r="AI131" s="63"/>
      <c r="AJ131" s="63"/>
      <c r="AK131" s="63"/>
      <c r="AL131" s="63"/>
      <c r="AM131" s="63"/>
      <c r="AN131" s="63"/>
      <c r="AO131" s="63"/>
      <c r="AP131" s="63"/>
    </row>
    <row r="132" spans="31:42" ht="50.25">
      <c r="AE132" s="74" t="s">
        <v>42</v>
      </c>
      <c r="AF132" s="75" t="s">
        <v>91</v>
      </c>
      <c r="AG132" s="75" t="s">
        <v>99</v>
      </c>
      <c r="AH132" s="75">
        <v>0</v>
      </c>
      <c r="AI132" s="63"/>
      <c r="AJ132" s="63"/>
      <c r="AK132" s="63"/>
      <c r="AL132" s="63"/>
      <c r="AM132" s="63"/>
      <c r="AN132" s="63"/>
      <c r="AO132" s="63"/>
      <c r="AP132" s="63"/>
    </row>
    <row r="133" spans="31:42" ht="50.25">
      <c r="AE133" s="70" t="s">
        <v>42</v>
      </c>
      <c r="AF133" s="71" t="s">
        <v>91</v>
      </c>
      <c r="AG133" s="71" t="s">
        <v>100</v>
      </c>
      <c r="AH133" s="71">
        <v>0</v>
      </c>
      <c r="AI133" s="63"/>
      <c r="AJ133" s="63"/>
      <c r="AK133" s="63"/>
      <c r="AL133" s="63"/>
      <c r="AM133" s="63"/>
      <c r="AN133" s="63"/>
      <c r="AO133" s="63"/>
      <c r="AP133" s="63"/>
    </row>
    <row r="134" spans="31:42" ht="50.25">
      <c r="AE134" s="74" t="s">
        <v>42</v>
      </c>
      <c r="AF134" s="75" t="s">
        <v>91</v>
      </c>
      <c r="AG134" s="75" t="s">
        <v>86</v>
      </c>
      <c r="AH134" s="75">
        <v>0</v>
      </c>
      <c r="AI134" s="63"/>
      <c r="AJ134" s="63"/>
      <c r="AK134" s="63"/>
      <c r="AL134" s="63"/>
      <c r="AM134" s="63"/>
      <c r="AN134" s="63"/>
      <c r="AO134" s="63"/>
      <c r="AP134" s="63"/>
    </row>
    <row r="135" spans="31:42" ht="50.25">
      <c r="AE135" s="70" t="s">
        <v>42</v>
      </c>
      <c r="AF135" s="71" t="s">
        <v>91</v>
      </c>
      <c r="AG135" s="71" t="s">
        <v>54</v>
      </c>
      <c r="AH135" s="71">
        <v>6</v>
      </c>
      <c r="AI135" s="63"/>
      <c r="AJ135" s="63"/>
      <c r="AK135" s="63"/>
      <c r="AL135" s="63"/>
      <c r="AM135" s="63"/>
      <c r="AN135" s="63"/>
      <c r="AO135" s="63"/>
      <c r="AP135" s="63"/>
    </row>
    <row r="136" spans="31:42" ht="66.75">
      <c r="AE136" s="74" t="s">
        <v>42</v>
      </c>
      <c r="AF136" s="75" t="s">
        <v>93</v>
      </c>
      <c r="AG136" s="75" t="s">
        <v>57</v>
      </c>
      <c r="AH136" s="75">
        <v>3</v>
      </c>
      <c r="AI136" s="63"/>
      <c r="AJ136" s="63"/>
      <c r="AK136" s="63"/>
      <c r="AL136" s="63"/>
      <c r="AM136" s="63"/>
      <c r="AN136" s="63"/>
      <c r="AO136" s="63"/>
      <c r="AP136" s="63"/>
    </row>
    <row r="137" spans="31:42" ht="66.75">
      <c r="AE137" s="70" t="s">
        <v>42</v>
      </c>
      <c r="AF137" s="71" t="s">
        <v>93</v>
      </c>
      <c r="AG137" s="97">
        <v>46086</v>
      </c>
      <c r="AH137" s="71">
        <v>0</v>
      </c>
      <c r="AI137" s="63"/>
      <c r="AJ137" s="63"/>
      <c r="AK137" s="63"/>
      <c r="AL137" s="63"/>
      <c r="AM137" s="63"/>
      <c r="AN137" s="63"/>
      <c r="AO137" s="63"/>
      <c r="AP137" s="63"/>
    </row>
    <row r="138" spans="31:42" ht="66.75">
      <c r="AE138" s="74" t="s">
        <v>42</v>
      </c>
      <c r="AF138" s="75" t="s">
        <v>93</v>
      </c>
      <c r="AG138" s="96">
        <v>46152</v>
      </c>
      <c r="AH138" s="75">
        <v>1</v>
      </c>
      <c r="AI138" s="63"/>
      <c r="AJ138" s="63"/>
      <c r="AK138" s="63"/>
      <c r="AL138" s="63"/>
      <c r="AM138" s="63"/>
      <c r="AN138" s="63"/>
      <c r="AO138" s="63"/>
      <c r="AP138" s="63"/>
    </row>
    <row r="139" spans="31:42" ht="66.75">
      <c r="AE139" s="70" t="s">
        <v>42</v>
      </c>
      <c r="AF139" s="71" t="s">
        <v>93</v>
      </c>
      <c r="AG139" s="97">
        <v>46315</v>
      </c>
      <c r="AH139" s="71">
        <v>1</v>
      </c>
      <c r="AI139" s="63"/>
      <c r="AJ139" s="63"/>
      <c r="AK139" s="63"/>
      <c r="AL139" s="63"/>
      <c r="AM139" s="63"/>
      <c r="AN139" s="63"/>
      <c r="AO139" s="63"/>
      <c r="AP139" s="63"/>
    </row>
    <row r="140" spans="31:42" ht="66.75">
      <c r="AE140" s="74" t="s">
        <v>42</v>
      </c>
      <c r="AF140" s="75" t="s">
        <v>93</v>
      </c>
      <c r="AG140" s="75" t="s">
        <v>80</v>
      </c>
      <c r="AH140" s="75">
        <v>0</v>
      </c>
      <c r="AI140" s="63"/>
      <c r="AJ140" s="63"/>
      <c r="AK140" s="63"/>
      <c r="AL140" s="63"/>
      <c r="AM140" s="63"/>
      <c r="AN140" s="63"/>
      <c r="AO140" s="63"/>
      <c r="AP140" s="63"/>
    </row>
    <row r="141" spans="31:42" ht="66.75">
      <c r="AE141" s="70" t="s">
        <v>42</v>
      </c>
      <c r="AF141" s="71" t="s">
        <v>93</v>
      </c>
      <c r="AG141" s="71" t="s">
        <v>99</v>
      </c>
      <c r="AH141" s="71">
        <v>0</v>
      </c>
      <c r="AI141" s="63"/>
      <c r="AJ141" s="63"/>
      <c r="AK141" s="63"/>
      <c r="AL141" s="63"/>
      <c r="AM141" s="63"/>
      <c r="AN141" s="63"/>
      <c r="AO141" s="63"/>
      <c r="AP141" s="63"/>
    </row>
    <row r="142" spans="31:42" ht="66.75">
      <c r="AE142" s="74" t="s">
        <v>42</v>
      </c>
      <c r="AF142" s="75" t="s">
        <v>93</v>
      </c>
      <c r="AG142" s="75" t="s">
        <v>100</v>
      </c>
      <c r="AH142" s="75">
        <v>0</v>
      </c>
      <c r="AI142" s="63"/>
      <c r="AJ142" s="63"/>
      <c r="AK142" s="63"/>
      <c r="AL142" s="63"/>
      <c r="AM142" s="63"/>
      <c r="AN142" s="63"/>
      <c r="AO142" s="63"/>
      <c r="AP142" s="63"/>
    </row>
    <row r="143" spans="31:42" ht="66.75">
      <c r="AE143" s="70" t="s">
        <v>42</v>
      </c>
      <c r="AF143" s="71" t="s">
        <v>93</v>
      </c>
      <c r="AG143" s="71" t="s">
        <v>86</v>
      </c>
      <c r="AH143" s="71">
        <v>0</v>
      </c>
      <c r="AI143" s="63"/>
      <c r="AJ143" s="63"/>
      <c r="AK143" s="63"/>
      <c r="AL143" s="63"/>
      <c r="AM143" s="63"/>
      <c r="AN143" s="63"/>
      <c r="AO143" s="63"/>
      <c r="AP143" s="63"/>
    </row>
    <row r="144" spans="31:42" ht="66.75">
      <c r="AE144" s="74" t="s">
        <v>42</v>
      </c>
      <c r="AF144" s="75" t="s">
        <v>93</v>
      </c>
      <c r="AG144" s="75" t="s">
        <v>54</v>
      </c>
      <c r="AH144" s="75">
        <v>5</v>
      </c>
      <c r="AI144" s="63"/>
      <c r="AJ144" s="63"/>
      <c r="AK144" s="63"/>
      <c r="AL144" s="63"/>
      <c r="AM144" s="63"/>
      <c r="AN144" s="63"/>
      <c r="AO144" s="63"/>
      <c r="AP144" s="63"/>
    </row>
    <row r="145" spans="31:42" ht="84">
      <c r="AE145" s="70" t="s">
        <v>42</v>
      </c>
      <c r="AF145" s="71" t="s">
        <v>101</v>
      </c>
      <c r="AG145" s="71" t="s">
        <v>57</v>
      </c>
      <c r="AH145" s="71">
        <v>2</v>
      </c>
      <c r="AI145" s="63"/>
      <c r="AJ145" s="63"/>
      <c r="AK145" s="63"/>
      <c r="AL145" s="63"/>
      <c r="AM145" s="63"/>
      <c r="AN145" s="63"/>
      <c r="AO145" s="63"/>
      <c r="AP145" s="63"/>
    </row>
    <row r="146" spans="31:42" ht="84">
      <c r="AE146" s="74" t="s">
        <v>42</v>
      </c>
      <c r="AF146" s="75" t="s">
        <v>101</v>
      </c>
      <c r="AG146" s="96">
        <v>46086</v>
      </c>
      <c r="AH146" s="75">
        <v>0</v>
      </c>
      <c r="AI146" s="63"/>
      <c r="AJ146" s="63"/>
      <c r="AK146" s="63"/>
      <c r="AL146" s="63"/>
      <c r="AM146" s="63"/>
      <c r="AN146" s="63"/>
      <c r="AO146" s="63"/>
      <c r="AP146" s="63"/>
    </row>
    <row r="147" spans="31:42" ht="84">
      <c r="AE147" s="70" t="s">
        <v>42</v>
      </c>
      <c r="AF147" s="71" t="s">
        <v>101</v>
      </c>
      <c r="AG147" s="97">
        <v>46152</v>
      </c>
      <c r="AH147" s="71">
        <v>2</v>
      </c>
      <c r="AI147" s="63"/>
      <c r="AJ147" s="63"/>
      <c r="AK147" s="63"/>
      <c r="AL147" s="63"/>
      <c r="AM147" s="63"/>
      <c r="AN147" s="63"/>
      <c r="AO147" s="63"/>
      <c r="AP147" s="63"/>
    </row>
    <row r="148" spans="31:42" ht="84">
      <c r="AE148" s="74" t="s">
        <v>42</v>
      </c>
      <c r="AF148" s="75" t="s">
        <v>101</v>
      </c>
      <c r="AG148" s="96">
        <v>46315</v>
      </c>
      <c r="AH148" s="75">
        <v>0</v>
      </c>
      <c r="AI148" s="63"/>
      <c r="AJ148" s="63"/>
      <c r="AK148" s="63"/>
      <c r="AL148" s="63"/>
      <c r="AM148" s="63"/>
      <c r="AN148" s="63"/>
      <c r="AO148" s="63"/>
      <c r="AP148" s="63"/>
    </row>
    <row r="149" spans="31:42" ht="84">
      <c r="AE149" s="70" t="s">
        <v>42</v>
      </c>
      <c r="AF149" s="71" t="s">
        <v>101</v>
      </c>
      <c r="AG149" s="71" t="s">
        <v>80</v>
      </c>
      <c r="AH149" s="71">
        <v>0</v>
      </c>
      <c r="AI149" s="63"/>
      <c r="AJ149" s="63"/>
      <c r="AK149" s="63"/>
      <c r="AL149" s="63"/>
      <c r="AM149" s="63"/>
      <c r="AN149" s="63"/>
      <c r="AO149" s="63"/>
      <c r="AP149" s="63"/>
    </row>
    <row r="150" spans="31:42" ht="84">
      <c r="AE150" s="74" t="s">
        <v>42</v>
      </c>
      <c r="AF150" s="75" t="s">
        <v>101</v>
      </c>
      <c r="AG150" s="75" t="s">
        <v>99</v>
      </c>
      <c r="AH150" s="75">
        <v>0</v>
      </c>
      <c r="AI150" s="63"/>
      <c r="AJ150" s="63"/>
      <c r="AK150" s="63"/>
      <c r="AL150" s="63"/>
      <c r="AM150" s="63"/>
      <c r="AN150" s="63"/>
      <c r="AO150" s="63"/>
      <c r="AP150" s="63"/>
    </row>
    <row r="151" spans="31:42" ht="84">
      <c r="AE151" s="70" t="s">
        <v>42</v>
      </c>
      <c r="AF151" s="71" t="s">
        <v>101</v>
      </c>
      <c r="AG151" s="71" t="s">
        <v>100</v>
      </c>
      <c r="AH151" s="71">
        <v>0</v>
      </c>
      <c r="AI151" s="63"/>
      <c r="AJ151" s="63"/>
      <c r="AK151" s="63"/>
      <c r="AL151" s="63"/>
      <c r="AM151" s="63"/>
      <c r="AN151" s="63"/>
      <c r="AO151" s="63"/>
      <c r="AP151" s="63"/>
    </row>
    <row r="152" spans="31:42" ht="84">
      <c r="AE152" s="74" t="s">
        <v>42</v>
      </c>
      <c r="AF152" s="75" t="s">
        <v>101</v>
      </c>
      <c r="AG152" s="75" t="s">
        <v>86</v>
      </c>
      <c r="AH152" s="75">
        <v>0</v>
      </c>
      <c r="AI152" s="63"/>
      <c r="AJ152" s="63"/>
      <c r="AK152" s="63"/>
      <c r="AL152" s="63"/>
      <c r="AM152" s="63"/>
      <c r="AN152" s="63"/>
      <c r="AO152" s="63"/>
      <c r="AP152" s="63"/>
    </row>
    <row r="153" spans="31:42" ht="84">
      <c r="AE153" s="70" t="s">
        <v>42</v>
      </c>
      <c r="AF153" s="71" t="s">
        <v>101</v>
      </c>
      <c r="AG153" s="71" t="s">
        <v>54</v>
      </c>
      <c r="AH153" s="71">
        <v>4</v>
      </c>
      <c r="AI153" s="63"/>
      <c r="AJ153" s="63"/>
      <c r="AK153" s="63"/>
      <c r="AL153" s="63"/>
      <c r="AM153" s="63"/>
      <c r="AN153" s="63"/>
      <c r="AO153" s="63"/>
      <c r="AP153" s="63"/>
    </row>
    <row r="154" spans="31:42" ht="33.75">
      <c r="AE154" s="74" t="s">
        <v>42</v>
      </c>
      <c r="AF154" s="75" t="s">
        <v>102</v>
      </c>
      <c r="AG154" s="75" t="s">
        <v>57</v>
      </c>
      <c r="AH154" s="75">
        <v>3</v>
      </c>
      <c r="AI154" s="63"/>
      <c r="AJ154" s="63"/>
      <c r="AK154" s="63"/>
      <c r="AL154" s="63"/>
      <c r="AM154" s="63"/>
      <c r="AN154" s="63"/>
      <c r="AO154" s="63"/>
      <c r="AP154" s="63"/>
    </row>
    <row r="155" spans="31:42" ht="33.75">
      <c r="AE155" s="70" t="s">
        <v>42</v>
      </c>
      <c r="AF155" s="71" t="s">
        <v>102</v>
      </c>
      <c r="AG155" s="97">
        <v>46086</v>
      </c>
      <c r="AH155" s="71">
        <v>0</v>
      </c>
      <c r="AI155" s="63"/>
      <c r="AJ155" s="63"/>
      <c r="AK155" s="63"/>
      <c r="AL155" s="63"/>
      <c r="AM155" s="63"/>
      <c r="AN155" s="63"/>
      <c r="AO155" s="63"/>
      <c r="AP155" s="63"/>
    </row>
    <row r="156" spans="31:42" ht="33.75">
      <c r="AE156" s="74" t="s">
        <v>42</v>
      </c>
      <c r="AF156" s="75" t="s">
        <v>102</v>
      </c>
      <c r="AG156" s="96">
        <v>46152</v>
      </c>
      <c r="AH156" s="75">
        <v>0</v>
      </c>
      <c r="AI156" s="63"/>
      <c r="AJ156" s="63"/>
      <c r="AK156" s="63"/>
      <c r="AL156" s="63"/>
      <c r="AM156" s="63"/>
      <c r="AN156" s="63"/>
      <c r="AO156" s="63"/>
      <c r="AP156" s="63"/>
    </row>
    <row r="157" spans="31:42" ht="33.75">
      <c r="AE157" s="70" t="s">
        <v>42</v>
      </c>
      <c r="AF157" s="71" t="s">
        <v>102</v>
      </c>
      <c r="AG157" s="97">
        <v>46315</v>
      </c>
      <c r="AH157" s="71">
        <v>0</v>
      </c>
      <c r="AI157" s="63"/>
      <c r="AJ157" s="63"/>
      <c r="AK157" s="63"/>
      <c r="AL157" s="63"/>
      <c r="AM157" s="63"/>
      <c r="AN157" s="63"/>
      <c r="AO157" s="63"/>
      <c r="AP157" s="63"/>
    </row>
    <row r="158" spans="31:42" ht="33.75">
      <c r="AE158" s="74" t="s">
        <v>42</v>
      </c>
      <c r="AF158" s="75" t="s">
        <v>102</v>
      </c>
      <c r="AG158" s="75" t="s">
        <v>80</v>
      </c>
      <c r="AH158" s="75">
        <v>0</v>
      </c>
      <c r="AI158" s="63"/>
      <c r="AJ158" s="63"/>
      <c r="AK158" s="63"/>
      <c r="AL158" s="63"/>
      <c r="AM158" s="63"/>
      <c r="AN158" s="63"/>
      <c r="AO158" s="63"/>
      <c r="AP158" s="63"/>
    </row>
    <row r="159" spans="31:42" ht="33.75">
      <c r="AE159" s="70" t="s">
        <v>42</v>
      </c>
      <c r="AF159" s="71" t="s">
        <v>102</v>
      </c>
      <c r="AG159" s="71" t="s">
        <v>99</v>
      </c>
      <c r="AH159" s="71">
        <v>1</v>
      </c>
      <c r="AI159" s="63"/>
      <c r="AJ159" s="63"/>
      <c r="AK159" s="63"/>
      <c r="AL159" s="63"/>
      <c r="AM159" s="63"/>
      <c r="AN159" s="63"/>
      <c r="AO159" s="63"/>
      <c r="AP159" s="63"/>
    </row>
    <row r="160" spans="31:42" ht="33.75">
      <c r="AE160" s="74" t="s">
        <v>42</v>
      </c>
      <c r="AF160" s="75" t="s">
        <v>102</v>
      </c>
      <c r="AG160" s="75" t="s">
        <v>100</v>
      </c>
      <c r="AH160" s="75">
        <v>0</v>
      </c>
      <c r="AI160" s="63"/>
      <c r="AJ160" s="63"/>
      <c r="AK160" s="63"/>
      <c r="AL160" s="63"/>
      <c r="AM160" s="63"/>
      <c r="AN160" s="63"/>
      <c r="AO160" s="63"/>
      <c r="AP160" s="63"/>
    </row>
    <row r="161" spans="31:42" ht="33.75">
      <c r="AE161" s="70" t="s">
        <v>42</v>
      </c>
      <c r="AF161" s="71" t="s">
        <v>102</v>
      </c>
      <c r="AG161" s="71" t="s">
        <v>86</v>
      </c>
      <c r="AH161" s="71">
        <v>0</v>
      </c>
      <c r="AI161" s="63"/>
      <c r="AJ161" s="63"/>
      <c r="AK161" s="63"/>
      <c r="AL161" s="63"/>
      <c r="AM161" s="63"/>
      <c r="AN161" s="63"/>
      <c r="AO161" s="63"/>
      <c r="AP161" s="63"/>
    </row>
    <row r="162" spans="31:42" ht="33.75">
      <c r="AE162" s="74" t="s">
        <v>42</v>
      </c>
      <c r="AF162" s="75" t="s">
        <v>102</v>
      </c>
      <c r="AG162" s="75" t="s">
        <v>54</v>
      </c>
      <c r="AH162" s="75">
        <v>4</v>
      </c>
      <c r="AI162" s="63"/>
      <c r="AJ162" s="63"/>
      <c r="AK162" s="63"/>
      <c r="AL162" s="63"/>
      <c r="AM162" s="63"/>
      <c r="AN162" s="63"/>
      <c r="AO162" s="63"/>
      <c r="AP162" s="63"/>
    </row>
    <row r="163" spans="31:42" ht="50.25">
      <c r="AE163" s="70" t="s">
        <v>42</v>
      </c>
      <c r="AF163" s="71" t="s">
        <v>97</v>
      </c>
      <c r="AG163" s="71" t="s">
        <v>57</v>
      </c>
      <c r="AH163" s="71">
        <v>2</v>
      </c>
      <c r="AI163" s="63"/>
      <c r="AJ163" s="63"/>
      <c r="AK163" s="63"/>
      <c r="AL163" s="63"/>
      <c r="AM163" s="63"/>
      <c r="AN163" s="63"/>
      <c r="AO163" s="63"/>
      <c r="AP163" s="63"/>
    </row>
    <row r="164" spans="31:42" ht="50.25">
      <c r="AE164" s="74" t="s">
        <v>42</v>
      </c>
      <c r="AF164" s="75" t="s">
        <v>97</v>
      </c>
      <c r="AG164" s="96">
        <v>46086</v>
      </c>
      <c r="AH164" s="75">
        <v>0</v>
      </c>
      <c r="AI164" s="63"/>
      <c r="AJ164" s="63"/>
      <c r="AK164" s="63"/>
      <c r="AL164" s="63"/>
      <c r="AM164" s="63"/>
      <c r="AN164" s="63"/>
      <c r="AO164" s="63"/>
      <c r="AP164" s="63"/>
    </row>
    <row r="165" spans="31:42" ht="50.25">
      <c r="AE165" s="70" t="s">
        <v>42</v>
      </c>
      <c r="AF165" s="71" t="s">
        <v>97</v>
      </c>
      <c r="AG165" s="97">
        <v>46152</v>
      </c>
      <c r="AH165" s="71">
        <v>1</v>
      </c>
      <c r="AI165" s="63"/>
      <c r="AJ165" s="63"/>
      <c r="AK165" s="63"/>
      <c r="AL165" s="63"/>
      <c r="AM165" s="63"/>
      <c r="AN165" s="63"/>
      <c r="AO165" s="63"/>
      <c r="AP165" s="63"/>
    </row>
    <row r="166" spans="31:42" ht="50.25">
      <c r="AE166" s="74" t="s">
        <v>42</v>
      </c>
      <c r="AF166" s="75" t="s">
        <v>97</v>
      </c>
      <c r="AG166" s="96">
        <v>46315</v>
      </c>
      <c r="AH166" s="75">
        <v>0</v>
      </c>
      <c r="AI166" s="63"/>
      <c r="AJ166" s="63"/>
      <c r="AK166" s="63"/>
      <c r="AL166" s="63"/>
      <c r="AM166" s="63"/>
      <c r="AN166" s="63"/>
      <c r="AO166" s="63"/>
      <c r="AP166" s="63"/>
    </row>
    <row r="167" spans="31:42" ht="50.25">
      <c r="AE167" s="70" t="s">
        <v>42</v>
      </c>
      <c r="AF167" s="71" t="s">
        <v>97</v>
      </c>
      <c r="AG167" s="71" t="s">
        <v>80</v>
      </c>
      <c r="AH167" s="71">
        <v>0</v>
      </c>
      <c r="AI167" s="63"/>
      <c r="AJ167" s="63"/>
      <c r="AK167" s="63"/>
      <c r="AL167" s="63"/>
      <c r="AM167" s="63"/>
      <c r="AN167" s="63"/>
      <c r="AO167" s="63"/>
      <c r="AP167" s="63"/>
    </row>
    <row r="168" spans="31:42" ht="50.25">
      <c r="AE168" s="74" t="s">
        <v>42</v>
      </c>
      <c r="AF168" s="75" t="s">
        <v>97</v>
      </c>
      <c r="AG168" s="75" t="s">
        <v>99</v>
      </c>
      <c r="AH168" s="75">
        <v>0</v>
      </c>
      <c r="AI168" s="63"/>
      <c r="AJ168" s="63"/>
      <c r="AK168" s="63"/>
      <c r="AL168" s="63"/>
      <c r="AM168" s="63"/>
      <c r="AN168" s="63"/>
      <c r="AO168" s="63"/>
      <c r="AP168" s="63"/>
    </row>
    <row r="169" spans="31:42" ht="50.25">
      <c r="AE169" s="70" t="s">
        <v>42</v>
      </c>
      <c r="AF169" s="71" t="s">
        <v>97</v>
      </c>
      <c r="AG169" s="71" t="s">
        <v>100</v>
      </c>
      <c r="AH169" s="71">
        <v>0</v>
      </c>
      <c r="AI169" s="63"/>
      <c r="AJ169" s="63"/>
      <c r="AK169" s="63"/>
      <c r="AL169" s="63"/>
      <c r="AM169" s="63"/>
      <c r="AN169" s="63"/>
      <c r="AO169" s="63"/>
      <c r="AP169" s="63"/>
    </row>
    <row r="170" spans="31:42" ht="50.25">
      <c r="AE170" s="74" t="s">
        <v>42</v>
      </c>
      <c r="AF170" s="75" t="s">
        <v>97</v>
      </c>
      <c r="AG170" s="75" t="s">
        <v>86</v>
      </c>
      <c r="AH170" s="75">
        <v>0</v>
      </c>
      <c r="AI170" s="63"/>
      <c r="AJ170" s="63"/>
      <c r="AK170" s="63"/>
      <c r="AL170" s="63"/>
      <c r="AM170" s="63"/>
      <c r="AN170" s="63"/>
      <c r="AO170" s="63"/>
      <c r="AP170" s="63"/>
    </row>
    <row r="171" spans="31:42" ht="50.25">
      <c r="AE171" s="70" t="s">
        <v>42</v>
      </c>
      <c r="AF171" s="71" t="s">
        <v>97</v>
      </c>
      <c r="AG171" s="71" t="s">
        <v>54</v>
      </c>
      <c r="AH171" s="71">
        <v>3</v>
      </c>
      <c r="AI171" s="63"/>
      <c r="AJ171" s="63"/>
      <c r="AK171" s="63"/>
      <c r="AL171" s="63"/>
      <c r="AM171" s="63"/>
      <c r="AN171" s="63"/>
      <c r="AO171" s="63"/>
      <c r="AP171" s="63"/>
    </row>
    <row r="172" spans="31:42" ht="33.75">
      <c r="AE172" s="74" t="s">
        <v>42</v>
      </c>
      <c r="AF172" s="75" t="s">
        <v>83</v>
      </c>
      <c r="AG172" s="75" t="s">
        <v>57</v>
      </c>
      <c r="AH172" s="75">
        <v>79</v>
      </c>
      <c r="AI172" s="63"/>
      <c r="AJ172" s="63"/>
      <c r="AK172" s="63"/>
      <c r="AL172" s="63"/>
      <c r="AM172" s="63"/>
      <c r="AN172" s="63"/>
      <c r="AO172" s="63"/>
      <c r="AP172" s="63"/>
    </row>
    <row r="173" spans="31:42" ht="33.75">
      <c r="AE173" s="70" t="s">
        <v>42</v>
      </c>
      <c r="AF173" s="71" t="s">
        <v>83</v>
      </c>
      <c r="AG173" s="97">
        <v>46086</v>
      </c>
      <c r="AH173" s="71">
        <v>1</v>
      </c>
      <c r="AI173" s="63"/>
      <c r="AJ173" s="63"/>
      <c r="AK173" s="63"/>
      <c r="AL173" s="63"/>
      <c r="AM173" s="63"/>
      <c r="AN173" s="63"/>
      <c r="AO173" s="63"/>
      <c r="AP173" s="63"/>
    </row>
    <row r="174" spans="31:42" ht="33.75">
      <c r="AE174" s="74" t="s">
        <v>42</v>
      </c>
      <c r="AF174" s="75" t="s">
        <v>83</v>
      </c>
      <c r="AG174" s="96">
        <v>46152</v>
      </c>
      <c r="AH174" s="75">
        <v>39</v>
      </c>
      <c r="AI174" s="63"/>
      <c r="AJ174" s="63"/>
      <c r="AK174" s="63"/>
      <c r="AL174" s="63"/>
      <c r="AM174" s="63"/>
      <c r="AN174" s="63"/>
      <c r="AO174" s="63"/>
      <c r="AP174" s="63"/>
    </row>
    <row r="175" spans="31:42" ht="33.75">
      <c r="AE175" s="70" t="s">
        <v>42</v>
      </c>
      <c r="AF175" s="71" t="s">
        <v>83</v>
      </c>
      <c r="AG175" s="97">
        <v>46315</v>
      </c>
      <c r="AH175" s="71">
        <v>15</v>
      </c>
      <c r="AI175" s="63"/>
      <c r="AJ175" s="63"/>
      <c r="AK175" s="63"/>
      <c r="AL175" s="63"/>
      <c r="AM175" s="63"/>
      <c r="AN175" s="63"/>
      <c r="AO175" s="63"/>
      <c r="AP175" s="63"/>
    </row>
    <row r="176" spans="31:42" ht="33.75">
      <c r="AE176" s="74" t="s">
        <v>42</v>
      </c>
      <c r="AF176" s="75" t="s">
        <v>83</v>
      </c>
      <c r="AG176" s="75" t="s">
        <v>80</v>
      </c>
      <c r="AH176" s="75">
        <v>14</v>
      </c>
      <c r="AI176" s="63"/>
      <c r="AJ176" s="63"/>
      <c r="AK176" s="63"/>
      <c r="AL176" s="63"/>
      <c r="AM176" s="63"/>
      <c r="AN176" s="63"/>
      <c r="AO176" s="63"/>
      <c r="AP176" s="63"/>
    </row>
    <row r="177" spans="31:42" ht="33.75">
      <c r="AE177" s="70" t="s">
        <v>42</v>
      </c>
      <c r="AF177" s="71" t="s">
        <v>83</v>
      </c>
      <c r="AG177" s="71" t="s">
        <v>99</v>
      </c>
      <c r="AH177" s="71">
        <v>10</v>
      </c>
      <c r="AI177" s="63"/>
      <c r="AJ177" s="63"/>
      <c r="AK177" s="63"/>
      <c r="AL177" s="63"/>
      <c r="AM177" s="63"/>
      <c r="AN177" s="63"/>
      <c r="AO177" s="63"/>
      <c r="AP177" s="63"/>
    </row>
    <row r="178" spans="31:42" ht="33.75">
      <c r="AE178" s="74" t="s">
        <v>42</v>
      </c>
      <c r="AF178" s="75" t="s">
        <v>83</v>
      </c>
      <c r="AG178" s="75" t="s">
        <v>100</v>
      </c>
      <c r="AH178" s="75">
        <v>1</v>
      </c>
      <c r="AI178" s="63"/>
      <c r="AJ178" s="63"/>
      <c r="AK178" s="63"/>
      <c r="AL178" s="63"/>
      <c r="AM178" s="63"/>
      <c r="AN178" s="63"/>
      <c r="AO178" s="63"/>
      <c r="AP178" s="63"/>
    </row>
    <row r="179" spans="31:42" ht="33.75">
      <c r="AE179" s="70" t="s">
        <v>42</v>
      </c>
      <c r="AF179" s="71" t="s">
        <v>83</v>
      </c>
      <c r="AG179" s="71" t="s">
        <v>86</v>
      </c>
      <c r="AH179" s="71">
        <v>15</v>
      </c>
      <c r="AI179" s="63"/>
      <c r="AJ179" s="63"/>
      <c r="AK179" s="63"/>
      <c r="AL179" s="63"/>
      <c r="AM179" s="63"/>
      <c r="AN179" s="63"/>
      <c r="AO179" s="63"/>
      <c r="AP179" s="63"/>
    </row>
    <row r="180" spans="31:42" ht="33.75">
      <c r="AE180" s="74" t="s">
        <v>42</v>
      </c>
      <c r="AF180" s="75" t="s">
        <v>83</v>
      </c>
      <c r="AG180" s="75" t="s">
        <v>54</v>
      </c>
      <c r="AH180" s="75">
        <v>174</v>
      </c>
      <c r="AI180" s="63"/>
      <c r="AJ180" s="63"/>
      <c r="AK180" s="63"/>
      <c r="AL180" s="63"/>
      <c r="AM180" s="63"/>
      <c r="AN180" s="63"/>
      <c r="AO180" s="63"/>
      <c r="AP180" s="63"/>
    </row>
  </sheetData>
  <mergeCells count="11">
    <mergeCell ref="B4:B9"/>
    <mergeCell ref="C2:E2"/>
    <mergeCell ref="G4:G8"/>
    <mergeCell ref="H2:J2"/>
    <mergeCell ref="L4:L8"/>
    <mergeCell ref="AE1:AH1"/>
    <mergeCell ref="AJ1:AN1"/>
    <mergeCell ref="M2:O2"/>
    <mergeCell ref="R2:T2"/>
    <mergeCell ref="Q4:Q8"/>
    <mergeCell ref="W2:AC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BC2EC-3FF7-416E-8746-A530FE1FCEC2}">
  <dimension ref="C2:AM20"/>
  <sheetViews>
    <sheetView topLeftCell="L1" workbookViewId="0">
      <selection activeCell="V16" sqref="V16"/>
    </sheetView>
  </sheetViews>
  <sheetFormatPr defaultRowHeight="15"/>
  <cols>
    <col min="3" max="3" width="39.140625" customWidth="1"/>
    <col min="9" max="9" width="10.140625" bestFit="1" customWidth="1"/>
    <col min="10" max="10" width="17.7109375" bestFit="1" customWidth="1"/>
    <col min="17" max="17" width="13.28515625" bestFit="1" customWidth="1"/>
    <col min="18" max="18" width="17.7109375" bestFit="1" customWidth="1"/>
    <col min="21" max="21" width="29.85546875" bestFit="1" customWidth="1"/>
    <col min="22" max="22" width="8.85546875" bestFit="1" customWidth="1"/>
    <col min="23" max="23" width="11.5703125" bestFit="1" customWidth="1"/>
    <col min="26" max="26" width="14.28515625" bestFit="1" customWidth="1"/>
    <col min="27" max="27" width="11.5703125" customWidth="1"/>
    <col min="28" max="28" width="12" bestFit="1" customWidth="1"/>
    <col min="29" max="29" width="9.5703125" bestFit="1" customWidth="1"/>
    <col min="34" max="34" width="4.7109375" customWidth="1"/>
    <col min="37" max="37" width="3.5703125" customWidth="1"/>
    <col min="38" max="38" width="13.85546875" bestFit="1" customWidth="1"/>
  </cols>
  <sheetData>
    <row r="2" spans="3:39">
      <c r="C2" s="120" t="s">
        <v>103</v>
      </c>
      <c r="D2" s="120"/>
      <c r="G2" s="120" t="s">
        <v>104</v>
      </c>
      <c r="H2" s="120"/>
      <c r="I2" s="120"/>
      <c r="J2" s="120"/>
      <c r="M2" s="120" t="s">
        <v>105</v>
      </c>
      <c r="N2" s="120"/>
      <c r="O2" s="120"/>
      <c r="P2" s="120"/>
      <c r="Q2" s="120"/>
      <c r="R2" s="120"/>
      <c r="U2" s="120" t="s">
        <v>106</v>
      </c>
      <c r="V2" s="120"/>
      <c r="W2" s="120"/>
      <c r="AF2" s="120" t="s">
        <v>107</v>
      </c>
      <c r="AG2" s="120"/>
      <c r="AH2" s="120"/>
      <c r="AI2" s="120"/>
      <c r="AJ2" s="120"/>
      <c r="AK2" s="120"/>
      <c r="AL2" s="120"/>
      <c r="AM2" s="120"/>
    </row>
    <row r="3" spans="3:39" ht="45.75">
      <c r="C3" s="46" t="s">
        <v>108</v>
      </c>
      <c r="D3" s="46" t="s">
        <v>37</v>
      </c>
      <c r="G3" s="50" t="s">
        <v>109</v>
      </c>
      <c r="H3" s="50" t="s">
        <v>7</v>
      </c>
      <c r="I3" s="50" t="s">
        <v>110</v>
      </c>
      <c r="J3" s="50" t="s">
        <v>111</v>
      </c>
      <c r="M3" s="53" t="s">
        <v>112</v>
      </c>
      <c r="N3" s="53" t="s">
        <v>113</v>
      </c>
      <c r="O3" s="53" t="s">
        <v>114</v>
      </c>
      <c r="P3" s="53" t="s">
        <v>115</v>
      </c>
      <c r="Q3" s="54" t="s">
        <v>116</v>
      </c>
      <c r="R3" s="53" t="s">
        <v>111</v>
      </c>
      <c r="U3" s="53" t="s">
        <v>112</v>
      </c>
      <c r="V3" s="53" t="s">
        <v>117</v>
      </c>
      <c r="W3" s="53" t="s">
        <v>118</v>
      </c>
      <c r="Z3" s="64" t="s">
        <v>119</v>
      </c>
      <c r="AA3" s="64" t="s">
        <v>120</v>
      </c>
      <c r="AB3" s="64" t="s">
        <v>121</v>
      </c>
      <c r="AC3" s="64" t="s">
        <v>122</v>
      </c>
      <c r="AF3" s="65" t="s">
        <v>123</v>
      </c>
      <c r="AG3" s="66">
        <f>SUM(AG4:AG6)</f>
        <v>1311</v>
      </c>
      <c r="AH3" s="63"/>
      <c r="AI3" s="65" t="s">
        <v>124</v>
      </c>
      <c r="AJ3" s="66">
        <v>289</v>
      </c>
      <c r="AK3" s="63"/>
      <c r="AL3" s="65" t="s">
        <v>125</v>
      </c>
      <c r="AM3" s="66">
        <f>AM4+AM5</f>
        <v>2732</v>
      </c>
    </row>
    <row r="4" spans="3:39">
      <c r="C4" s="44" t="s">
        <v>50</v>
      </c>
      <c r="D4" s="44">
        <v>3613</v>
      </c>
      <c r="G4" s="47">
        <v>0.12</v>
      </c>
      <c r="H4" s="47">
        <v>0.3</v>
      </c>
      <c r="I4" s="48">
        <v>46387</v>
      </c>
      <c r="J4" s="49" t="s">
        <v>126</v>
      </c>
      <c r="M4" s="52" t="s">
        <v>127</v>
      </c>
      <c r="N4" s="51">
        <v>16</v>
      </c>
      <c r="O4" s="51">
        <v>9</v>
      </c>
      <c r="P4" s="51">
        <v>7</v>
      </c>
      <c r="Q4" s="51">
        <v>11</v>
      </c>
      <c r="R4" s="51" t="s">
        <v>126</v>
      </c>
      <c r="T4" s="109" t="s">
        <v>128</v>
      </c>
      <c r="U4" s="58">
        <v>46138</v>
      </c>
      <c r="V4" s="44">
        <v>6519</v>
      </c>
      <c r="W4" s="44">
        <v>1408</v>
      </c>
      <c r="Z4" s="51">
        <v>9</v>
      </c>
      <c r="AA4" s="51">
        <f>V13</f>
        <v>4470</v>
      </c>
      <c r="AB4" s="51">
        <v>31</v>
      </c>
      <c r="AC4" s="51">
        <v>56</v>
      </c>
      <c r="AF4" s="51" t="s">
        <v>129</v>
      </c>
      <c r="AG4" s="51">
        <v>825</v>
      </c>
      <c r="AH4" s="63"/>
      <c r="AI4" s="63"/>
      <c r="AJ4" s="63"/>
      <c r="AK4" s="63"/>
      <c r="AL4" s="51" t="s">
        <v>130</v>
      </c>
      <c r="AM4" s="51">
        <v>1189</v>
      </c>
    </row>
    <row r="5" spans="3:39">
      <c r="C5" s="44" t="s">
        <v>52</v>
      </c>
      <c r="D5" s="44">
        <v>3084</v>
      </c>
      <c r="M5" s="52" t="s">
        <v>131</v>
      </c>
      <c r="N5" s="51">
        <v>16</v>
      </c>
      <c r="O5" s="51">
        <v>9</v>
      </c>
      <c r="P5" s="51">
        <v>7</v>
      </c>
      <c r="Q5" s="51">
        <v>11</v>
      </c>
      <c r="R5" s="51" t="s">
        <v>126</v>
      </c>
      <c r="T5" s="109"/>
      <c r="U5" s="58">
        <v>46168</v>
      </c>
      <c r="V5" s="44">
        <v>4340</v>
      </c>
      <c r="W5" s="44">
        <v>978</v>
      </c>
      <c r="AF5" s="51" t="s">
        <v>132</v>
      </c>
      <c r="AG5" s="51">
        <v>335</v>
      </c>
      <c r="AH5" s="63"/>
      <c r="AI5" s="63"/>
      <c r="AJ5" s="63"/>
      <c r="AK5" s="63"/>
      <c r="AL5" s="51" t="s">
        <v>133</v>
      </c>
      <c r="AM5" s="51">
        <v>1543</v>
      </c>
    </row>
    <row r="6" spans="3:39">
      <c r="C6" s="44" t="s">
        <v>51</v>
      </c>
      <c r="D6" s="44">
        <v>1265</v>
      </c>
      <c r="M6" s="55" t="s">
        <v>54</v>
      </c>
      <c r="N6" s="56">
        <f>SUM(N4:N5)</f>
        <v>32</v>
      </c>
      <c r="O6" s="56">
        <f>SUM(O4:O5)</f>
        <v>18</v>
      </c>
      <c r="P6" s="56">
        <f>SUM(P4:P5)</f>
        <v>14</v>
      </c>
      <c r="Q6" s="56">
        <f>SUM(Q4:Q5)</f>
        <v>22</v>
      </c>
      <c r="R6" s="56" t="s">
        <v>126</v>
      </c>
      <c r="T6" s="109"/>
      <c r="U6" s="58">
        <v>46199</v>
      </c>
      <c r="V6" s="44">
        <v>5882</v>
      </c>
      <c r="W6" s="44">
        <v>1028</v>
      </c>
      <c r="AF6" s="51" t="s">
        <v>134</v>
      </c>
      <c r="AG6" s="51">
        <v>151</v>
      </c>
      <c r="AH6" s="63"/>
      <c r="AI6" s="63"/>
      <c r="AJ6" s="63"/>
      <c r="AK6" s="63"/>
      <c r="AL6" s="63"/>
      <c r="AM6" s="63"/>
    </row>
    <row r="7" spans="3:39">
      <c r="C7" s="44" t="s">
        <v>53</v>
      </c>
      <c r="D7" s="44">
        <v>49</v>
      </c>
      <c r="T7" s="109"/>
      <c r="U7" s="58">
        <v>46229</v>
      </c>
      <c r="V7" s="44">
        <v>5578</v>
      </c>
      <c r="W7" s="44">
        <v>1056</v>
      </c>
    </row>
    <row r="8" spans="3:39">
      <c r="C8" s="45" t="s">
        <v>135</v>
      </c>
      <c r="D8" s="45">
        <f>SUM(D4:D7)</f>
        <v>8011</v>
      </c>
      <c r="T8" s="109"/>
      <c r="U8" s="59">
        <v>46260</v>
      </c>
      <c r="V8" s="44">
        <v>0</v>
      </c>
      <c r="W8" s="44">
        <v>0</v>
      </c>
    </row>
    <row r="9" spans="3:39">
      <c r="T9" s="109"/>
      <c r="U9" s="59">
        <v>46291</v>
      </c>
      <c r="V9" s="44">
        <v>0</v>
      </c>
      <c r="W9" s="44">
        <v>0</v>
      </c>
    </row>
    <row r="10" spans="3:39">
      <c r="T10" s="109"/>
      <c r="U10" s="58">
        <v>46321</v>
      </c>
      <c r="V10" s="44">
        <v>0</v>
      </c>
      <c r="W10" s="44">
        <v>0</v>
      </c>
    </row>
    <row r="11" spans="3:39">
      <c r="T11" s="109"/>
      <c r="U11" s="58">
        <v>46352</v>
      </c>
      <c r="V11" s="44">
        <v>0</v>
      </c>
      <c r="W11" s="44">
        <v>0</v>
      </c>
    </row>
    <row r="12" spans="3:39">
      <c r="T12" s="109"/>
      <c r="U12" s="60">
        <v>46382</v>
      </c>
      <c r="V12" s="61">
        <v>0</v>
      </c>
      <c r="W12" s="44">
        <v>0</v>
      </c>
    </row>
    <row r="13" spans="3:39">
      <c r="U13" s="43" t="s">
        <v>136</v>
      </c>
      <c r="V13" s="43">
        <f>SUM(W4:W12)</f>
        <v>4470</v>
      </c>
    </row>
    <row r="14" spans="3:39">
      <c r="U14" s="43" t="s">
        <v>137</v>
      </c>
      <c r="V14" s="43">
        <f>SUM(V4:V12)</f>
        <v>22319</v>
      </c>
    </row>
    <row r="15" spans="3:39">
      <c r="U15" s="45" t="s">
        <v>138</v>
      </c>
      <c r="V15" s="62">
        <f>V13/(V13+V14)</f>
        <v>0.16685953189742059</v>
      </c>
    </row>
    <row r="20" spans="22:22">
      <c r="V20" s="57"/>
    </row>
  </sheetData>
  <mergeCells count="6">
    <mergeCell ref="T4:T12"/>
    <mergeCell ref="AF2:AM2"/>
    <mergeCell ref="C2:D2"/>
    <mergeCell ref="G2:J2"/>
    <mergeCell ref="M2:R2"/>
    <mergeCell ref="U2:W2"/>
  </mergeCells>
  <dataValidations count="1">
    <dataValidation type="list" allowBlank="1" showInputMessage="1" showErrorMessage="1" sqref="J4 R4:R6" xr:uid="{E88E7E03-164D-4B45-B061-4CD4CABA7008}">
      <formula1>"Ahead of Schedule, On Track, Behind Schedule"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227FD-D165-496F-9C2F-A1F1C3FC0B60}">
  <dimension ref="C4:T34"/>
  <sheetViews>
    <sheetView topLeftCell="L19" workbookViewId="0">
      <selection activeCell="Q1" sqref="Q1"/>
    </sheetView>
  </sheetViews>
  <sheetFormatPr defaultRowHeight="15"/>
  <cols>
    <col min="3" max="3" width="29.5703125" bestFit="1" customWidth="1"/>
    <col min="4" max="4" width="7.5703125" bestFit="1" customWidth="1"/>
    <col min="5" max="5" width="7.140625" bestFit="1" customWidth="1"/>
    <col min="6" max="6" width="7.85546875" bestFit="1" customWidth="1"/>
    <col min="7" max="7" width="6.85546875" bestFit="1" customWidth="1"/>
    <col min="8" max="8" width="6.28515625" bestFit="1" customWidth="1"/>
    <col min="9" max="9" width="7.28515625" bestFit="1" customWidth="1"/>
    <col min="10" max="10" width="7.140625" bestFit="1" customWidth="1"/>
    <col min="14" max="14" width="29.7109375" customWidth="1"/>
    <col min="15" max="15" width="15" customWidth="1"/>
    <col min="16" max="16" width="55.5703125" customWidth="1"/>
    <col min="17" max="17" width="22.5703125" bestFit="1" customWidth="1"/>
    <col min="19" max="19" width="34.140625" bestFit="1" customWidth="1"/>
  </cols>
  <sheetData>
    <row r="4" spans="3:20" ht="30" customHeight="1">
      <c r="C4" s="122" t="s">
        <v>139</v>
      </c>
      <c r="D4" s="123"/>
      <c r="E4" s="123"/>
      <c r="F4" s="123"/>
      <c r="G4" s="123"/>
      <c r="H4" s="123"/>
      <c r="I4" s="123"/>
      <c r="J4" s="123"/>
      <c r="N4" s="94" t="s">
        <v>140</v>
      </c>
      <c r="O4" s="94" t="s">
        <v>141</v>
      </c>
      <c r="P4" s="94" t="s">
        <v>142</v>
      </c>
      <c r="Q4" s="94" t="s">
        <v>143</v>
      </c>
      <c r="R4" s="94" t="s">
        <v>37</v>
      </c>
      <c r="S4" s="94" t="s">
        <v>144</v>
      </c>
      <c r="T4" s="94" t="s">
        <v>37</v>
      </c>
    </row>
    <row r="5" spans="3:20" ht="15.75">
      <c r="C5" s="90" t="s">
        <v>145</v>
      </c>
      <c r="D5" s="91">
        <v>46082</v>
      </c>
      <c r="E5" s="91">
        <v>46113</v>
      </c>
      <c r="F5" s="91">
        <v>46143</v>
      </c>
      <c r="G5" s="91">
        <v>46174</v>
      </c>
      <c r="H5" s="91">
        <v>46204</v>
      </c>
      <c r="I5" s="91">
        <v>46235</v>
      </c>
      <c r="J5" s="91">
        <v>46266</v>
      </c>
      <c r="N5" s="121" t="s">
        <v>146</v>
      </c>
      <c r="O5" s="121" t="s">
        <v>147</v>
      </c>
      <c r="P5" s="121" t="s">
        <v>148</v>
      </c>
      <c r="Q5" s="95" t="s">
        <v>149</v>
      </c>
      <c r="R5" s="95" t="s">
        <v>150</v>
      </c>
      <c r="S5" s="95" t="s">
        <v>151</v>
      </c>
      <c r="T5" s="95" t="s">
        <v>152</v>
      </c>
    </row>
    <row r="6" spans="3:20" ht="15.75">
      <c r="C6" s="90" t="s">
        <v>153</v>
      </c>
      <c r="D6" s="93">
        <v>108</v>
      </c>
      <c r="E6" s="93">
        <v>121</v>
      </c>
      <c r="F6" s="93">
        <v>103</v>
      </c>
      <c r="G6" s="93">
        <v>168</v>
      </c>
      <c r="H6" s="93">
        <v>170</v>
      </c>
      <c r="I6" s="93" t="s">
        <v>154</v>
      </c>
      <c r="J6" s="52"/>
      <c r="N6" s="121"/>
      <c r="O6" s="121"/>
      <c r="P6" s="121"/>
      <c r="Q6" s="95" t="s">
        <v>155</v>
      </c>
      <c r="R6" s="95" t="s">
        <v>156</v>
      </c>
      <c r="S6" s="95" t="s">
        <v>157</v>
      </c>
      <c r="T6" s="95" t="s">
        <v>158</v>
      </c>
    </row>
    <row r="7" spans="3:20" ht="15.75">
      <c r="C7" s="92" t="s">
        <v>159</v>
      </c>
      <c r="D7" s="52">
        <v>253</v>
      </c>
      <c r="E7" s="52">
        <v>175</v>
      </c>
      <c r="F7" s="52">
        <v>127</v>
      </c>
      <c r="G7" s="52">
        <v>116</v>
      </c>
      <c r="H7" s="52">
        <v>96</v>
      </c>
      <c r="I7" s="52" t="s">
        <v>154</v>
      </c>
      <c r="J7" s="52"/>
      <c r="N7" s="121"/>
      <c r="O7" s="121"/>
      <c r="P7" s="121"/>
      <c r="Q7" s="95" t="s">
        <v>160</v>
      </c>
      <c r="R7" s="95" t="s">
        <v>161</v>
      </c>
      <c r="S7" s="95" t="s">
        <v>162</v>
      </c>
      <c r="T7" s="95">
        <v>179</v>
      </c>
    </row>
    <row r="8" spans="3:20" ht="15.75">
      <c r="C8" s="90" t="s">
        <v>163</v>
      </c>
      <c r="D8" s="52">
        <v>30</v>
      </c>
      <c r="E8" s="52">
        <v>73</v>
      </c>
      <c r="F8" s="52">
        <v>92</v>
      </c>
      <c r="G8" s="52">
        <v>148</v>
      </c>
      <c r="H8" s="52">
        <v>164</v>
      </c>
      <c r="I8" s="52" t="s">
        <v>154</v>
      </c>
      <c r="J8" s="52"/>
      <c r="N8" s="121"/>
      <c r="O8" s="121"/>
      <c r="P8" s="121"/>
      <c r="Q8" s="95" t="s">
        <v>164</v>
      </c>
      <c r="R8" s="95">
        <v>657</v>
      </c>
      <c r="S8" s="95" t="s">
        <v>165</v>
      </c>
      <c r="T8" s="95">
        <v>552</v>
      </c>
    </row>
    <row r="9" spans="3:20" ht="15.75">
      <c r="N9" s="121"/>
      <c r="O9" s="121"/>
      <c r="P9" s="121"/>
      <c r="Q9" s="95" t="s">
        <v>166</v>
      </c>
      <c r="R9" s="95">
        <v>206</v>
      </c>
      <c r="S9" s="95" t="s">
        <v>167</v>
      </c>
      <c r="T9" s="95">
        <v>249</v>
      </c>
    </row>
    <row r="10" spans="3:20" ht="15.75">
      <c r="N10" s="121"/>
      <c r="O10" s="121"/>
      <c r="P10" s="121" t="s">
        <v>168</v>
      </c>
      <c r="Q10" s="95" t="s">
        <v>149</v>
      </c>
      <c r="R10" s="95" t="s">
        <v>169</v>
      </c>
      <c r="S10" s="95" t="s">
        <v>167</v>
      </c>
      <c r="T10" s="95" t="s">
        <v>170</v>
      </c>
    </row>
    <row r="11" spans="3:20" ht="15.75">
      <c r="N11" s="121"/>
      <c r="O11" s="121"/>
      <c r="P11" s="121"/>
      <c r="Q11" s="95" t="s">
        <v>155</v>
      </c>
      <c r="R11" s="95" t="s">
        <v>171</v>
      </c>
      <c r="S11" s="95" t="s">
        <v>162</v>
      </c>
      <c r="T11" s="95" t="s">
        <v>150</v>
      </c>
    </row>
    <row r="12" spans="3:20" ht="15.75">
      <c r="N12" s="121"/>
      <c r="O12" s="121"/>
      <c r="P12" s="121"/>
      <c r="Q12" s="95" t="s">
        <v>160</v>
      </c>
      <c r="R12" s="95" t="s">
        <v>172</v>
      </c>
      <c r="S12" s="95" t="s">
        <v>173</v>
      </c>
      <c r="T12" s="95" t="s">
        <v>174</v>
      </c>
    </row>
    <row r="13" spans="3:20" ht="15.75">
      <c r="N13" s="121"/>
      <c r="O13" s="121"/>
      <c r="P13" s="121"/>
      <c r="Q13" s="95" t="s">
        <v>175</v>
      </c>
      <c r="R13" s="95" t="s">
        <v>176</v>
      </c>
      <c r="S13" s="95" t="s">
        <v>177</v>
      </c>
      <c r="T13" s="95" t="s">
        <v>178</v>
      </c>
    </row>
    <row r="14" spans="3:20" ht="15.75">
      <c r="N14" s="121"/>
      <c r="O14" s="121"/>
      <c r="P14" s="121"/>
      <c r="Q14" s="95" t="s">
        <v>179</v>
      </c>
      <c r="R14" s="95" t="s">
        <v>180</v>
      </c>
      <c r="S14" s="95" t="s">
        <v>151</v>
      </c>
      <c r="T14" s="95" t="s">
        <v>181</v>
      </c>
    </row>
    <row r="15" spans="3:20">
      <c r="N15" s="121"/>
      <c r="O15" s="121"/>
      <c r="P15" s="121" t="s">
        <v>182</v>
      </c>
      <c r="Q15" s="121"/>
      <c r="R15" s="121"/>
      <c r="S15" s="121"/>
      <c r="T15" s="121"/>
    </row>
    <row r="16" spans="3:20">
      <c r="N16" s="121"/>
      <c r="O16" s="121"/>
      <c r="P16" s="121"/>
      <c r="Q16" s="121"/>
      <c r="R16" s="121"/>
      <c r="S16" s="121"/>
      <c r="T16" s="121"/>
    </row>
    <row r="17" spans="14:20">
      <c r="N17" s="121"/>
      <c r="O17" s="121"/>
      <c r="P17" s="121"/>
      <c r="Q17" s="121"/>
      <c r="R17" s="121"/>
      <c r="S17" s="121"/>
      <c r="T17" s="121"/>
    </row>
    <row r="18" spans="14:20">
      <c r="N18" s="121"/>
      <c r="O18" s="121"/>
      <c r="P18" s="121"/>
      <c r="Q18" s="121"/>
      <c r="R18" s="121"/>
      <c r="S18" s="121"/>
      <c r="T18" s="121"/>
    </row>
    <row r="19" spans="14:20">
      <c r="N19" s="121"/>
      <c r="O19" s="121"/>
      <c r="P19" s="121"/>
      <c r="Q19" s="121"/>
      <c r="R19" s="121"/>
      <c r="S19" s="121"/>
      <c r="T19" s="121"/>
    </row>
    <row r="20" spans="14:20" ht="15.75">
      <c r="N20" s="121"/>
      <c r="O20" s="121" t="s">
        <v>183</v>
      </c>
      <c r="P20" s="121" t="s">
        <v>184</v>
      </c>
      <c r="Q20" s="95" t="s">
        <v>185</v>
      </c>
      <c r="R20" s="95" t="s">
        <v>186</v>
      </c>
      <c r="S20" s="95" t="s">
        <v>187</v>
      </c>
      <c r="T20" s="95">
        <v>410</v>
      </c>
    </row>
    <row r="21" spans="14:20" ht="15.75">
      <c r="N21" s="121"/>
      <c r="O21" s="121"/>
      <c r="P21" s="121"/>
      <c r="Q21" s="95" t="s">
        <v>188</v>
      </c>
      <c r="R21" s="95">
        <v>300</v>
      </c>
      <c r="S21" s="95" t="s">
        <v>189</v>
      </c>
      <c r="T21" s="95">
        <v>201</v>
      </c>
    </row>
    <row r="22" spans="14:20" ht="15.75">
      <c r="N22" s="121"/>
      <c r="O22" s="121"/>
      <c r="P22" s="121"/>
      <c r="Q22" s="95" t="s">
        <v>190</v>
      </c>
      <c r="R22" s="95">
        <v>250</v>
      </c>
      <c r="S22" s="95" t="s">
        <v>191</v>
      </c>
      <c r="T22" s="95">
        <v>60</v>
      </c>
    </row>
    <row r="23" spans="14:20" ht="15.75">
      <c r="N23" s="121"/>
      <c r="O23" s="121"/>
      <c r="P23" s="121"/>
      <c r="Q23" s="95" t="s">
        <v>192</v>
      </c>
      <c r="R23" s="95">
        <v>230</v>
      </c>
      <c r="S23" s="95" t="s">
        <v>193</v>
      </c>
      <c r="T23" s="95">
        <v>55</v>
      </c>
    </row>
    <row r="24" spans="14:20" ht="15.75">
      <c r="N24" s="121"/>
      <c r="O24" s="121"/>
      <c r="P24" s="121"/>
      <c r="Q24" s="95" t="s">
        <v>194</v>
      </c>
      <c r="R24" s="95">
        <v>210</v>
      </c>
      <c r="S24" s="95" t="s">
        <v>195</v>
      </c>
      <c r="T24" s="95">
        <v>31</v>
      </c>
    </row>
    <row r="25" spans="14:20" ht="15.75">
      <c r="N25" s="121"/>
      <c r="O25" s="121"/>
      <c r="P25" s="121" t="s">
        <v>196</v>
      </c>
      <c r="Q25" s="95" t="s">
        <v>197</v>
      </c>
      <c r="R25" s="95" t="s">
        <v>198</v>
      </c>
      <c r="S25" s="95" t="s">
        <v>199</v>
      </c>
      <c r="T25" s="95">
        <v>165</v>
      </c>
    </row>
    <row r="26" spans="14:20" ht="15.75">
      <c r="N26" s="121"/>
      <c r="O26" s="121"/>
      <c r="P26" s="121"/>
      <c r="Q26" s="95" t="s">
        <v>200</v>
      </c>
      <c r="R26" s="95" t="s">
        <v>201</v>
      </c>
      <c r="S26" s="95" t="s">
        <v>189</v>
      </c>
      <c r="T26" s="95">
        <v>98</v>
      </c>
    </row>
    <row r="27" spans="14:20" ht="15.75">
      <c r="N27" s="121"/>
      <c r="O27" s="121"/>
      <c r="P27" s="121"/>
      <c r="Q27" s="95" t="s">
        <v>202</v>
      </c>
      <c r="R27" s="95">
        <v>650</v>
      </c>
      <c r="S27" s="95" t="s">
        <v>203</v>
      </c>
      <c r="T27" s="95">
        <v>90</v>
      </c>
    </row>
    <row r="28" spans="14:20" ht="15.75">
      <c r="N28" s="121"/>
      <c r="O28" s="121"/>
      <c r="P28" s="121"/>
      <c r="Q28" s="95" t="s">
        <v>204</v>
      </c>
      <c r="R28" s="95">
        <v>480</v>
      </c>
      <c r="S28" s="95" t="s">
        <v>205</v>
      </c>
      <c r="T28" s="95">
        <v>85</v>
      </c>
    </row>
    <row r="29" spans="14:20" ht="15.75">
      <c r="N29" s="121"/>
      <c r="O29" s="121"/>
      <c r="P29" s="121"/>
      <c r="Q29" s="95" t="s">
        <v>206</v>
      </c>
      <c r="R29" s="95">
        <v>310</v>
      </c>
      <c r="S29" s="95" t="s">
        <v>162</v>
      </c>
      <c r="T29" s="95">
        <v>30</v>
      </c>
    </row>
    <row r="30" spans="14:20">
      <c r="N30" s="121"/>
      <c r="O30" s="121"/>
      <c r="P30" s="121" t="s">
        <v>207</v>
      </c>
      <c r="Q30" s="121"/>
      <c r="R30" s="121"/>
      <c r="S30" s="121"/>
      <c r="T30" s="121"/>
    </row>
    <row r="31" spans="14:20">
      <c r="N31" s="121"/>
      <c r="O31" s="121"/>
      <c r="P31" s="121"/>
      <c r="Q31" s="121"/>
      <c r="R31" s="121"/>
      <c r="S31" s="121"/>
      <c r="T31" s="121"/>
    </row>
    <row r="32" spans="14:20">
      <c r="N32" s="121"/>
      <c r="O32" s="121"/>
      <c r="P32" s="121"/>
      <c r="Q32" s="121"/>
      <c r="R32" s="121"/>
      <c r="S32" s="121"/>
      <c r="T32" s="121"/>
    </row>
    <row r="33" spans="14:20">
      <c r="N33" s="121"/>
      <c r="O33" s="121"/>
      <c r="P33" s="121"/>
      <c r="Q33" s="121"/>
      <c r="R33" s="121"/>
      <c r="S33" s="121"/>
      <c r="T33" s="121"/>
    </row>
    <row r="34" spans="14:20">
      <c r="N34" s="121"/>
      <c r="O34" s="121"/>
      <c r="P34" s="121"/>
      <c r="Q34" s="121"/>
      <c r="R34" s="121"/>
      <c r="S34" s="121"/>
      <c r="T34" s="121"/>
    </row>
  </sheetData>
  <mergeCells count="10">
    <mergeCell ref="P30:T34"/>
    <mergeCell ref="C4:J4"/>
    <mergeCell ref="N5:N34"/>
    <mergeCell ref="O5:O19"/>
    <mergeCell ref="P5:P9"/>
    <mergeCell ref="P10:P14"/>
    <mergeCell ref="P15:T19"/>
    <mergeCell ref="O20:O34"/>
    <mergeCell ref="P20:P24"/>
    <mergeCell ref="P25:P2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D5E12-E5E2-42E8-8478-B8ABFA255B2A}">
  <dimension ref="A1:AF7"/>
  <sheetViews>
    <sheetView topLeftCell="A4" workbookViewId="0">
      <selection activeCell="S3" sqref="S3"/>
    </sheetView>
  </sheetViews>
  <sheetFormatPr defaultRowHeight="15"/>
  <cols>
    <col min="1" max="1" width="24.28515625" style="63" customWidth="1"/>
    <col min="2" max="5" width="9.140625" style="63"/>
    <col min="6" max="6" width="17.28515625" style="63" customWidth="1"/>
    <col min="7" max="9" width="9.140625" style="63"/>
    <col min="10" max="10" width="11.42578125" style="63" customWidth="1"/>
    <col min="11" max="11" width="17" style="63" customWidth="1"/>
    <col min="12" max="12" width="5" style="63" customWidth="1"/>
    <col min="13" max="13" width="7" style="63" bestFit="1" customWidth="1"/>
    <col min="14" max="14" width="13.140625" style="63" customWidth="1"/>
    <col min="15" max="15" width="9.140625" style="63"/>
    <col min="16" max="16" width="7.7109375" style="63" bestFit="1" customWidth="1"/>
    <col min="17" max="17" width="7" style="63" bestFit="1" customWidth="1"/>
    <col min="18" max="18" width="22.42578125" style="63" customWidth="1"/>
    <col min="19" max="20" width="9.140625" style="63"/>
    <col min="21" max="21" width="19.42578125" style="63" customWidth="1"/>
    <col min="22" max="22" width="20.5703125" style="63" customWidth="1"/>
    <col min="23" max="23" width="35.7109375" style="63" customWidth="1"/>
    <col min="24" max="25" width="9.140625" style="63"/>
    <col min="26" max="26" width="30.85546875" style="63" customWidth="1"/>
    <col min="27" max="27" width="31.42578125" style="63" customWidth="1"/>
    <col min="28" max="28" width="19.140625" style="63" customWidth="1"/>
    <col min="29" max="29" width="22.7109375" style="63" customWidth="1"/>
    <col min="30" max="30" width="9.140625" style="63"/>
    <col min="31" max="31" width="12.5703125" style="63" customWidth="1"/>
    <col min="32" max="32" width="17.28515625" style="63" customWidth="1"/>
    <col min="33" max="16384" width="9.140625" style="63"/>
  </cols>
  <sheetData>
    <row r="1" spans="1:32">
      <c r="B1" s="79" t="s">
        <v>208</v>
      </c>
      <c r="D1" s="108" t="s">
        <v>209</v>
      </c>
      <c r="E1" s="108"/>
      <c r="F1" s="108"/>
      <c r="G1" s="80"/>
      <c r="H1" s="108" t="s">
        <v>210</v>
      </c>
      <c r="I1" s="108"/>
      <c r="J1" s="108"/>
      <c r="K1" s="108"/>
      <c r="M1" s="108" t="s">
        <v>211</v>
      </c>
      <c r="N1" s="108"/>
      <c r="O1" s="108" t="s">
        <v>209</v>
      </c>
      <c r="P1" s="108"/>
      <c r="Q1" s="108"/>
      <c r="R1" s="80"/>
      <c r="S1" s="108" t="s">
        <v>210</v>
      </c>
      <c r="T1" s="108"/>
      <c r="U1" s="108"/>
      <c r="V1" s="108"/>
      <c r="X1" s="108" t="s">
        <v>211</v>
      </c>
      <c r="Y1" s="108"/>
      <c r="Z1" s="67"/>
      <c r="AA1" s="67"/>
      <c r="AB1" s="67"/>
      <c r="AC1" s="67"/>
      <c r="AE1" s="108" t="s">
        <v>212</v>
      </c>
      <c r="AF1" s="108"/>
    </row>
    <row r="2" spans="1:32" ht="33">
      <c r="A2" s="70" t="s">
        <v>54</v>
      </c>
      <c r="B2" s="71">
        <v>599</v>
      </c>
      <c r="D2" s="68" t="s">
        <v>213</v>
      </c>
      <c r="E2" s="69" t="s">
        <v>37</v>
      </c>
      <c r="F2" s="69" t="s">
        <v>39</v>
      </c>
      <c r="G2" s="80"/>
      <c r="H2" s="68" t="s">
        <v>214</v>
      </c>
      <c r="I2" s="69" t="s">
        <v>37</v>
      </c>
      <c r="J2" s="69" t="s">
        <v>39</v>
      </c>
      <c r="K2" s="69" t="s">
        <v>215</v>
      </c>
      <c r="M2" s="68" t="s">
        <v>214</v>
      </c>
      <c r="N2" s="69" t="s">
        <v>37</v>
      </c>
      <c r="O2" s="80"/>
      <c r="P2" s="68" t="s">
        <v>6</v>
      </c>
      <c r="Q2" s="69" t="s">
        <v>214</v>
      </c>
      <c r="R2" s="69" t="s">
        <v>37</v>
      </c>
      <c r="T2" s="68" t="s">
        <v>216</v>
      </c>
      <c r="U2" s="69" t="s">
        <v>217</v>
      </c>
      <c r="V2" s="69" t="s">
        <v>218</v>
      </c>
      <c r="W2" s="69" t="s">
        <v>219</v>
      </c>
      <c r="X2" s="69" t="s">
        <v>214</v>
      </c>
      <c r="Y2" s="69" t="s">
        <v>220</v>
      </c>
      <c r="Z2" s="69" t="s">
        <v>221</v>
      </c>
      <c r="AA2" s="69" t="s">
        <v>222</v>
      </c>
      <c r="AB2" s="69" t="s">
        <v>223</v>
      </c>
      <c r="AC2" s="69" t="s">
        <v>224</v>
      </c>
      <c r="AE2" s="68" t="s">
        <v>225</v>
      </c>
      <c r="AF2" s="69" t="s">
        <v>226</v>
      </c>
    </row>
    <row r="3" spans="1:32" ht="117">
      <c r="A3" s="74" t="s">
        <v>227</v>
      </c>
      <c r="B3" s="75">
        <v>56</v>
      </c>
      <c r="D3" s="70" t="s">
        <v>228</v>
      </c>
      <c r="E3" s="71">
        <v>2</v>
      </c>
      <c r="F3" s="71">
        <v>50</v>
      </c>
      <c r="G3" s="80"/>
      <c r="H3" s="70" t="s">
        <v>229</v>
      </c>
      <c r="I3" s="71">
        <v>11</v>
      </c>
      <c r="J3" s="71">
        <v>45.83</v>
      </c>
      <c r="K3" s="71" t="s">
        <v>230</v>
      </c>
      <c r="M3" s="70" t="s">
        <v>231</v>
      </c>
      <c r="N3" s="71">
        <v>12</v>
      </c>
      <c r="O3" s="80"/>
      <c r="P3" s="81">
        <v>46235</v>
      </c>
      <c r="Q3" s="71" t="s">
        <v>232</v>
      </c>
      <c r="R3" s="71">
        <v>6</v>
      </c>
      <c r="T3" s="70" t="s">
        <v>233</v>
      </c>
      <c r="U3" s="71" t="s">
        <v>234</v>
      </c>
      <c r="V3" s="71" t="s">
        <v>235</v>
      </c>
      <c r="W3" s="72" t="s">
        <v>236</v>
      </c>
      <c r="X3" s="71" t="s">
        <v>231</v>
      </c>
      <c r="Y3" s="71" t="s">
        <v>237</v>
      </c>
      <c r="Z3" s="73">
        <v>46142</v>
      </c>
      <c r="AA3" s="71" t="s">
        <v>238</v>
      </c>
      <c r="AB3" s="71" t="s">
        <v>239</v>
      </c>
      <c r="AC3" s="71" t="s">
        <v>240</v>
      </c>
      <c r="AE3" s="70" t="s">
        <v>241</v>
      </c>
      <c r="AF3" s="71">
        <v>5</v>
      </c>
    </row>
    <row r="4" spans="1:32" ht="117">
      <c r="A4" s="70" t="s">
        <v>242</v>
      </c>
      <c r="B4" s="71">
        <v>543</v>
      </c>
      <c r="D4" s="74" t="s">
        <v>243</v>
      </c>
      <c r="E4" s="75">
        <v>1</v>
      </c>
      <c r="F4" s="75">
        <v>25</v>
      </c>
      <c r="G4" s="80"/>
      <c r="H4" s="74" t="s">
        <v>231</v>
      </c>
      <c r="I4" s="75">
        <v>9</v>
      </c>
      <c r="J4" s="75">
        <v>37.5</v>
      </c>
      <c r="K4" s="75" t="s">
        <v>230</v>
      </c>
      <c r="M4" s="74" t="s">
        <v>229</v>
      </c>
      <c r="N4" s="75">
        <v>9</v>
      </c>
      <c r="O4" s="80"/>
      <c r="P4" s="82">
        <v>46235</v>
      </c>
      <c r="Q4" s="75" t="s">
        <v>244</v>
      </c>
      <c r="R4" s="75">
        <v>3</v>
      </c>
      <c r="T4" s="74" t="s">
        <v>245</v>
      </c>
      <c r="U4" s="75" t="s">
        <v>234</v>
      </c>
      <c r="V4" s="75" t="s">
        <v>235</v>
      </c>
      <c r="W4" s="76" t="s">
        <v>236</v>
      </c>
      <c r="X4" s="75" t="s">
        <v>231</v>
      </c>
      <c r="Y4" s="75" t="s">
        <v>246</v>
      </c>
      <c r="Z4" s="77">
        <v>46173</v>
      </c>
      <c r="AA4" s="75" t="s">
        <v>238</v>
      </c>
      <c r="AB4" s="75" t="s">
        <v>239</v>
      </c>
      <c r="AC4" s="75" t="s">
        <v>240</v>
      </c>
      <c r="AE4" s="74" t="s">
        <v>247</v>
      </c>
      <c r="AF4" s="75">
        <v>4</v>
      </c>
    </row>
    <row r="5" spans="1:32" ht="117">
      <c r="A5" s="74" t="s">
        <v>248</v>
      </c>
      <c r="B5" s="75">
        <v>0</v>
      </c>
      <c r="D5" s="70" t="s">
        <v>249</v>
      </c>
      <c r="E5" s="71">
        <v>1</v>
      </c>
      <c r="F5" s="71">
        <v>25</v>
      </c>
      <c r="G5" s="80"/>
      <c r="H5" s="70" t="s">
        <v>244</v>
      </c>
      <c r="I5" s="71">
        <v>2</v>
      </c>
      <c r="J5" s="71">
        <v>8.33</v>
      </c>
      <c r="K5" s="71" t="s">
        <v>250</v>
      </c>
      <c r="M5" s="70" t="s">
        <v>244</v>
      </c>
      <c r="N5" s="71">
        <v>8</v>
      </c>
      <c r="O5" s="80"/>
      <c r="P5" s="81">
        <v>46235</v>
      </c>
      <c r="Q5" s="71" t="s">
        <v>251</v>
      </c>
      <c r="R5" s="71">
        <v>1</v>
      </c>
      <c r="T5" s="70" t="s">
        <v>252</v>
      </c>
      <c r="U5" s="71" t="s">
        <v>234</v>
      </c>
      <c r="V5" s="71" t="s">
        <v>235</v>
      </c>
      <c r="W5" s="72" t="s">
        <v>236</v>
      </c>
      <c r="X5" s="71" t="s">
        <v>231</v>
      </c>
      <c r="Y5" s="71" t="s">
        <v>253</v>
      </c>
      <c r="Z5" s="73">
        <v>46173</v>
      </c>
      <c r="AA5" s="71" t="s">
        <v>238</v>
      </c>
      <c r="AB5" s="71" t="s">
        <v>239</v>
      </c>
      <c r="AC5" s="71" t="s">
        <v>240</v>
      </c>
      <c r="AE5" s="70" t="s">
        <v>254</v>
      </c>
      <c r="AF5" s="71">
        <v>1</v>
      </c>
    </row>
    <row r="6" spans="1:32" ht="117">
      <c r="A6" s="70" t="s">
        <v>255</v>
      </c>
      <c r="B6" s="71">
        <v>6</v>
      </c>
      <c r="D6" s="80"/>
      <c r="E6" s="80"/>
      <c r="F6" s="80"/>
      <c r="G6" s="80"/>
      <c r="H6" s="74" t="s">
        <v>232</v>
      </c>
      <c r="I6" s="75">
        <v>1</v>
      </c>
      <c r="J6" s="75">
        <v>4.17</v>
      </c>
      <c r="K6" s="75" t="s">
        <v>230</v>
      </c>
      <c r="M6" s="74" t="s">
        <v>232</v>
      </c>
      <c r="N6" s="75">
        <v>7</v>
      </c>
      <c r="O6" s="80"/>
      <c r="P6" s="82">
        <v>46235</v>
      </c>
      <c r="Q6" s="75" t="s">
        <v>229</v>
      </c>
      <c r="R6" s="75">
        <v>1</v>
      </c>
      <c r="T6" s="74" t="s">
        <v>256</v>
      </c>
      <c r="U6" s="75" t="s">
        <v>234</v>
      </c>
      <c r="V6" s="75" t="s">
        <v>235</v>
      </c>
      <c r="W6" s="76" t="s">
        <v>236</v>
      </c>
      <c r="X6" s="75" t="s">
        <v>231</v>
      </c>
      <c r="Y6" s="75" t="s">
        <v>257</v>
      </c>
      <c r="Z6" s="77">
        <v>46234</v>
      </c>
      <c r="AA6" s="75" t="s">
        <v>238</v>
      </c>
      <c r="AB6" s="75" t="s">
        <v>239</v>
      </c>
      <c r="AC6" s="75" t="s">
        <v>240</v>
      </c>
    </row>
    <row r="7" spans="1:32" ht="183.75">
      <c r="D7" s="80"/>
      <c r="E7" s="80"/>
      <c r="F7" s="80"/>
      <c r="G7" s="80"/>
      <c r="T7" s="70" t="s">
        <v>258</v>
      </c>
      <c r="U7" s="71" t="s">
        <v>259</v>
      </c>
      <c r="V7" s="71" t="s">
        <v>260</v>
      </c>
      <c r="W7" s="78" t="s">
        <v>261</v>
      </c>
      <c r="X7" s="71" t="s">
        <v>262</v>
      </c>
      <c r="Y7" s="71" t="s">
        <v>263</v>
      </c>
      <c r="Z7" s="73">
        <v>46249</v>
      </c>
      <c r="AA7" s="71" t="s">
        <v>264</v>
      </c>
      <c r="AB7" s="71" t="s">
        <v>265</v>
      </c>
      <c r="AC7" s="71" t="s">
        <v>266</v>
      </c>
    </row>
  </sheetData>
  <mergeCells count="7">
    <mergeCell ref="AE1:AF1"/>
    <mergeCell ref="D1:F1"/>
    <mergeCell ref="H1:K1"/>
    <mergeCell ref="M1:N1"/>
    <mergeCell ref="O1:Q1"/>
    <mergeCell ref="S1:V1"/>
    <mergeCell ref="X1:Y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C0F10-1F99-447A-A129-9BE7E264DDE3}">
  <dimension ref="A1:D22"/>
  <sheetViews>
    <sheetView tabSelected="1" workbookViewId="0">
      <selection activeCell="E1" sqref="E1"/>
    </sheetView>
  </sheetViews>
  <sheetFormatPr defaultRowHeight="15"/>
  <cols>
    <col min="1" max="1" width="45.85546875" customWidth="1"/>
    <col min="2" max="2" width="75.42578125" customWidth="1"/>
  </cols>
  <sheetData>
    <row r="1" spans="1:4">
      <c r="A1" s="126" t="s">
        <v>267</v>
      </c>
      <c r="B1" s="126"/>
      <c r="C1" s="126"/>
      <c r="D1" s="126"/>
    </row>
    <row r="2" spans="1:4" ht="33">
      <c r="A2" s="83" t="s">
        <v>268</v>
      </c>
      <c r="B2" s="84" t="s">
        <v>269</v>
      </c>
      <c r="C2" s="84" t="s">
        <v>270</v>
      </c>
      <c r="D2" s="84" t="s">
        <v>271</v>
      </c>
    </row>
    <row r="3" spans="1:4" ht="66.75">
      <c r="A3" s="85" t="s">
        <v>272</v>
      </c>
      <c r="B3" s="86" t="s">
        <v>273</v>
      </c>
      <c r="C3" s="86" t="s">
        <v>274</v>
      </c>
      <c r="D3" s="86" t="s">
        <v>274</v>
      </c>
    </row>
    <row r="4" spans="1:4" ht="66.75">
      <c r="A4" s="87" t="s">
        <v>272</v>
      </c>
      <c r="B4" s="88" t="s">
        <v>275</v>
      </c>
      <c r="C4" s="88" t="s">
        <v>274</v>
      </c>
      <c r="D4" s="88" t="s">
        <v>274</v>
      </c>
    </row>
    <row r="5" spans="1:4" ht="134.25">
      <c r="A5" s="85" t="s">
        <v>272</v>
      </c>
      <c r="B5" s="86" t="s">
        <v>276</v>
      </c>
      <c r="C5" s="86" t="s">
        <v>277</v>
      </c>
      <c r="D5" s="86" t="s">
        <v>278</v>
      </c>
    </row>
    <row r="6" spans="1:4" ht="66.75">
      <c r="A6" s="87" t="s">
        <v>272</v>
      </c>
      <c r="B6" s="88" t="s">
        <v>279</v>
      </c>
      <c r="C6" s="88" t="s">
        <v>277</v>
      </c>
      <c r="D6" s="88" t="s">
        <v>278</v>
      </c>
    </row>
    <row r="7" spans="1:4" ht="150.75">
      <c r="A7" s="85" t="s">
        <v>280</v>
      </c>
      <c r="B7" s="86" t="s">
        <v>281</v>
      </c>
      <c r="C7" s="86" t="s">
        <v>274</v>
      </c>
      <c r="D7" s="86" t="s">
        <v>274</v>
      </c>
    </row>
    <row r="8" spans="1:4" ht="100.5">
      <c r="A8" s="87" t="s">
        <v>280</v>
      </c>
      <c r="B8" s="88" t="s">
        <v>282</v>
      </c>
      <c r="C8" s="88" t="s">
        <v>277</v>
      </c>
      <c r="D8" s="88" t="s">
        <v>277</v>
      </c>
    </row>
    <row r="9" spans="1:4" ht="183.75">
      <c r="A9" s="85" t="s">
        <v>280</v>
      </c>
      <c r="B9" s="86" t="s">
        <v>283</v>
      </c>
      <c r="C9" s="86" t="s">
        <v>284</v>
      </c>
      <c r="D9" s="86" t="s">
        <v>278</v>
      </c>
    </row>
    <row r="10" spans="1:4" ht="168">
      <c r="A10" s="87" t="s">
        <v>285</v>
      </c>
      <c r="B10" s="88" t="s">
        <v>286</v>
      </c>
      <c r="C10" s="88" t="s">
        <v>277</v>
      </c>
      <c r="D10" s="88" t="s">
        <v>277</v>
      </c>
    </row>
    <row r="11" spans="1:4" ht="66.75">
      <c r="A11" s="85" t="s">
        <v>285</v>
      </c>
      <c r="B11" s="86" t="s">
        <v>287</v>
      </c>
      <c r="C11" s="86" t="s">
        <v>284</v>
      </c>
      <c r="D11" s="86" t="s">
        <v>278</v>
      </c>
    </row>
    <row r="12" spans="1:4" ht="50.25">
      <c r="A12" s="87" t="s">
        <v>288</v>
      </c>
      <c r="B12" s="88" t="s">
        <v>289</v>
      </c>
      <c r="C12" s="88" t="s">
        <v>274</v>
      </c>
      <c r="D12" s="88" t="s">
        <v>274</v>
      </c>
    </row>
    <row r="13" spans="1:4" ht="117">
      <c r="A13" s="85" t="s">
        <v>288</v>
      </c>
      <c r="B13" s="86" t="s">
        <v>290</v>
      </c>
      <c r="C13" s="86" t="s">
        <v>274</v>
      </c>
      <c r="D13" s="86" t="s">
        <v>274</v>
      </c>
    </row>
    <row r="14" spans="1:4" ht="168">
      <c r="A14" s="87" t="s">
        <v>288</v>
      </c>
      <c r="B14" s="88" t="s">
        <v>291</v>
      </c>
      <c r="C14" s="88" t="s">
        <v>277</v>
      </c>
      <c r="D14" s="88" t="s">
        <v>278</v>
      </c>
    </row>
    <row r="15" spans="1:4" ht="100.5">
      <c r="A15" s="85" t="s">
        <v>288</v>
      </c>
      <c r="B15" s="86" t="s">
        <v>292</v>
      </c>
      <c r="C15" s="86" t="s">
        <v>277</v>
      </c>
      <c r="D15" s="86" t="s">
        <v>278</v>
      </c>
    </row>
    <row r="16" spans="1:4" ht="66.75">
      <c r="A16" s="87" t="s">
        <v>288</v>
      </c>
      <c r="B16" s="88" t="s">
        <v>293</v>
      </c>
      <c r="C16" s="88" t="s">
        <v>277</v>
      </c>
      <c r="D16" s="88" t="s">
        <v>278</v>
      </c>
    </row>
    <row r="17" spans="1:4" ht="50.25">
      <c r="A17" s="85" t="s">
        <v>288</v>
      </c>
      <c r="B17" s="86" t="s">
        <v>294</v>
      </c>
      <c r="C17" s="86" t="s">
        <v>277</v>
      </c>
      <c r="D17" s="86" t="s">
        <v>278</v>
      </c>
    </row>
    <row r="18" spans="1:4" ht="200.25">
      <c r="A18" s="87" t="s">
        <v>295</v>
      </c>
      <c r="B18" s="88" t="s">
        <v>296</v>
      </c>
      <c r="C18" s="88" t="s">
        <v>277</v>
      </c>
      <c r="D18" s="88" t="s">
        <v>278</v>
      </c>
    </row>
    <row r="19" spans="1:4" ht="33.75">
      <c r="A19" s="85" t="s">
        <v>295</v>
      </c>
      <c r="B19" s="86" t="s">
        <v>297</v>
      </c>
      <c r="C19" s="86" t="s">
        <v>277</v>
      </c>
      <c r="D19" s="86" t="s">
        <v>278</v>
      </c>
    </row>
    <row r="20" spans="1:4" ht="50.25">
      <c r="A20" s="87" t="s">
        <v>295</v>
      </c>
      <c r="B20" s="88" t="s">
        <v>298</v>
      </c>
      <c r="C20" s="88" t="s">
        <v>277</v>
      </c>
      <c r="D20" s="88" t="s">
        <v>278</v>
      </c>
    </row>
    <row r="21" spans="1:4" ht="50.25">
      <c r="A21" s="85" t="s">
        <v>295</v>
      </c>
      <c r="B21" s="86" t="s">
        <v>299</v>
      </c>
      <c r="C21" s="86" t="s">
        <v>277</v>
      </c>
      <c r="D21" s="86" t="s">
        <v>278</v>
      </c>
    </row>
    <row r="22" spans="1:4" ht="66.75">
      <c r="A22" s="87" t="s">
        <v>295</v>
      </c>
      <c r="B22" s="88" t="s">
        <v>300</v>
      </c>
      <c r="C22" s="88" t="s">
        <v>277</v>
      </c>
      <c r="D22" s="88" t="s">
        <v>278</v>
      </c>
    </row>
  </sheetData>
  <mergeCells count="1">
    <mergeCell ref="A1:D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91F3A-A819-4A9E-BAA5-23769B32436E}">
  <sheetPr>
    <tabColor rgb="FF5B9BD5"/>
  </sheetPr>
  <dimension ref="A1:K28"/>
  <sheetViews>
    <sheetView topLeftCell="A22" workbookViewId="0">
      <selection activeCell="B30" sqref="B30"/>
    </sheetView>
  </sheetViews>
  <sheetFormatPr defaultRowHeight="15"/>
  <cols>
    <col min="1" max="1" width="25.28515625" bestFit="1" customWidth="1"/>
    <col min="2" max="2" width="76.7109375" customWidth="1"/>
    <col min="3" max="3" width="10.28515625" bestFit="1" customWidth="1"/>
    <col min="4" max="4" width="9.5703125" bestFit="1" customWidth="1"/>
    <col min="5" max="5" width="9.42578125" bestFit="1" customWidth="1"/>
    <col min="6" max="6" width="9.5703125" bestFit="1" customWidth="1"/>
    <col min="7" max="7" width="9.28515625" bestFit="1" customWidth="1"/>
    <col min="8" max="8" width="11" bestFit="1" customWidth="1"/>
    <col min="11" max="11" width="26.7109375" bestFit="1" customWidth="1"/>
  </cols>
  <sheetData>
    <row r="1" spans="1:11">
      <c r="A1" s="40" t="s">
        <v>301</v>
      </c>
    </row>
    <row r="4" spans="1:11">
      <c r="A4" s="29" t="s">
        <v>302</v>
      </c>
    </row>
    <row r="5" spans="1:11" ht="45.75">
      <c r="A5" s="30" t="s">
        <v>303</v>
      </c>
      <c r="B5" s="30" t="s">
        <v>304</v>
      </c>
      <c r="C5" s="30" t="s">
        <v>305</v>
      </c>
      <c r="D5" s="31" t="s">
        <v>306</v>
      </c>
      <c r="E5" s="31" t="s">
        <v>307</v>
      </c>
      <c r="F5" s="31" t="s">
        <v>308</v>
      </c>
      <c r="G5" s="31" t="s">
        <v>309</v>
      </c>
      <c r="H5" s="31" t="s">
        <v>310</v>
      </c>
      <c r="J5" s="38" t="s">
        <v>311</v>
      </c>
      <c r="K5" s="39" t="s">
        <v>312</v>
      </c>
    </row>
    <row r="6" spans="1:11">
      <c r="A6" s="26" t="s">
        <v>313</v>
      </c>
      <c r="B6" s="26" t="s">
        <v>314</v>
      </c>
      <c r="C6" s="26"/>
      <c r="D6" s="37">
        <v>0.08</v>
      </c>
      <c r="E6" s="37">
        <v>0.15</v>
      </c>
      <c r="F6" s="37">
        <v>0.85</v>
      </c>
      <c r="G6" s="37">
        <v>0.3</v>
      </c>
      <c r="H6" s="37">
        <v>0.5</v>
      </c>
    </row>
    <row r="7" spans="1:11">
      <c r="A7" s="27" t="s">
        <v>315</v>
      </c>
      <c r="B7" s="28" t="s">
        <v>316</v>
      </c>
      <c r="C7" s="36" t="s">
        <v>317</v>
      </c>
      <c r="D7" s="28" t="str">
        <f>IF($C7="","",_xlfn.LET(_xlpm.h,SUBSTITUTE($C7,"#",""),_xlpm.r,HEX2DEC(LEFT(_xlpm.h,2)),_xlpm.g,HEX2DEC(MID(_xlpm.h,3,2)),_xlpm.b,HEX2DEC(RIGHT(_xlpm.h,2)),_xlpm.p,D$6,"#"&amp;DEC2HEX(ROUND(_xlpm.r*(1-_xlpm.p),0),2)&amp;DEC2HEX(ROUND(_xlpm.g*(1-_xlpm.p),0),2)&amp;DEC2HEX(ROUND(_xlpm.b*(1-_xlpm.p),0),2)))</f>
        <v>#D11633</v>
      </c>
      <c r="E7" s="28" t="str">
        <f>IF($C7="","",_xlfn.LET(_xlpm.h,SUBSTITUTE($C7,"#",""),_xlpm.r,HEX2DEC(LEFT(_xlpm.h,2)),_xlpm.g,HEX2DEC(MID(_xlpm.h,3,2)),_xlpm.b,HEX2DEC(RIGHT(_xlpm.h,2)),_xlpm.p,E$6,"#"&amp;DEC2HEX(ROUND(_xlpm.r*(1-_xlpm.p),0),2)&amp;DEC2HEX(ROUND(_xlpm.g*(1-_xlpm.p),0),2)&amp;DEC2HEX(ROUND(_xlpm.b*(1-_xlpm.p),0),2)))</f>
        <v>#C1142F</v>
      </c>
      <c r="F7" s="28" t="str">
        <f>IF($C7="","",_xlfn.LET(_xlpm.h,SUBSTITUTE($C7,"#",""),_xlpm.r,HEX2DEC(LEFT(_xlpm.h,2)),_xlpm.g,HEX2DEC(MID(_xlpm.h,3,2)),_xlpm.b,HEX2DEC(RIGHT(_xlpm.h,2)),_xlpm.p,F$6,"#"&amp;DEC2HEX(ROUND(_xlpm.r+(255-_xlpm.r)*_xlpm.p,0),2)&amp;DEC2HEX(ROUND(_xlpm.g+(255-_xlpm.g)*_xlpm.p,0),2)&amp;DEC2HEX(ROUND(_xlpm.b+(255-_xlpm.b)*_xlpm.p,0),2)))</f>
        <v>#FBDCE1</v>
      </c>
      <c r="G7" s="28" t="str">
        <f>IF($C7="","",_xlfn.LET(_xlpm.h,SUBSTITUTE($C7,"#",""),_xlpm.r,HEX2DEC(LEFT(_xlpm.h,2)),_xlpm.g,HEX2DEC(MID(_xlpm.h,3,2)),_xlpm.b,HEX2DEC(RIGHT(_xlpm.h,2)),_xlpm.p,G$6,"#"&amp;DEC2HEX(ROUND(_xlpm.r+(255-_xlpm.r)*_xlpm.p,0),2)&amp;DEC2HEX(ROUND(_xlpm.g+(255-_xlpm.g)*_xlpm.p,0),2)&amp;DEC2HEX(ROUND(_xlpm.b+(255-_xlpm.b)*_xlpm.p,0),2)))</f>
        <v>#EB5D73</v>
      </c>
      <c r="H7" s="28" t="str">
        <f>IF($C7="","",UPPER("#"&amp;SUBSTITUTE($C7,"#","")&amp;DEC2HEX(ROUND(255*H$6,0),2)))</f>
        <v>#E3183780</v>
      </c>
    </row>
    <row r="8" spans="1:11">
      <c r="A8" s="27" t="s">
        <v>318</v>
      </c>
      <c r="B8" s="28" t="s">
        <v>319</v>
      </c>
      <c r="C8" s="36" t="s">
        <v>320</v>
      </c>
      <c r="D8" s="28" t="str">
        <f t="shared" ref="D8:D18" si="0">IF($C8="","",_xlfn.LET(_xlpm.h,SUBSTITUTE($C8,"#",""),_xlpm.r,HEX2DEC(LEFT(_xlpm.h,2)),_xlpm.g,HEX2DEC(MID(_xlpm.h,3,2)),_xlpm.b,HEX2DEC(RIGHT(_xlpm.h,2)),_xlpm.p,D$6,"#"&amp;DEC2HEX(ROUND(_xlpm.r*(1-_xlpm.p),0),2)&amp;DEC2HEX(ROUND(_xlpm.g*(1-_xlpm.p),0),2)&amp;DEC2HEX(ROUND(_xlpm.b*(1-_xlpm.p),0),2)))</f>
        <v>#090734</v>
      </c>
      <c r="E8" s="28" t="str">
        <f t="shared" ref="E8:E18" si="1">IF($C8="","",_xlfn.LET(_xlpm.h,SUBSTITUTE($C8,"#",""),_xlpm.r,HEX2DEC(LEFT(_xlpm.h,2)),_xlpm.g,HEX2DEC(MID(_xlpm.h,3,2)),_xlpm.b,HEX2DEC(RIGHT(_xlpm.h,2)),_xlpm.p,E$6,"#"&amp;DEC2HEX(ROUND(_xlpm.r*(1-_xlpm.p),0),2)&amp;DEC2HEX(ROUND(_xlpm.g*(1-_xlpm.p),0),2)&amp;DEC2HEX(ROUND(_xlpm.b*(1-_xlpm.p),0),2)))</f>
        <v>#090730</v>
      </c>
      <c r="F8" s="28" t="str">
        <f t="shared" ref="F8:F18" si="2">IF($C8="","",_xlfn.LET(_xlpm.h,SUBSTITUTE($C8,"#",""),_xlpm.r,HEX2DEC(LEFT(_xlpm.h,2)),_xlpm.g,HEX2DEC(MID(_xlpm.h,3,2)),_xlpm.b,HEX2DEC(RIGHT(_xlpm.h,2)),_xlpm.p,F$6,"#"&amp;DEC2HEX(ROUND(_xlpm.r+(255-_xlpm.r)*_xlpm.p,0),2)&amp;DEC2HEX(ROUND(_xlpm.g+(255-_xlpm.g)*_xlpm.p,0),2)&amp;DEC2HEX(ROUND(_xlpm.b+(255-_xlpm.b)*_xlpm.p,0),2)))</f>
        <v>#DADAE1</v>
      </c>
      <c r="G8" s="28" t="str">
        <f t="shared" ref="G8:G18" si="3">IF($C8="","",_xlfn.LET(_xlpm.h,SUBSTITUTE($C8,"#",""),_xlpm.r,HEX2DEC(LEFT(_xlpm.h,2)),_xlpm.g,HEX2DEC(MID(_xlpm.h,3,2)),_xlpm.b,HEX2DEC(RIGHT(_xlpm.h,2)),_xlpm.p,G$6,"#"&amp;DEC2HEX(ROUND(_xlpm.r+(255-_xlpm.r)*_xlpm.p,0),2)&amp;DEC2HEX(ROUND(_xlpm.g+(255-_xlpm.g)*_xlpm.p,0),2)&amp;DEC2HEX(ROUND(_xlpm.b+(255-_xlpm.b)*_xlpm.p,0),2)))</f>
        <v>#545274</v>
      </c>
      <c r="H8" s="28" t="str">
        <f t="shared" ref="H8:H18" si="4">IF($C8="","",UPPER("#"&amp;SUBSTITUTE($C8,"#","")&amp;DEC2HEX(ROUND(255*H$6,0),2)))</f>
        <v>#0A083880</v>
      </c>
    </row>
    <row r="9" spans="1:11">
      <c r="A9" s="27" t="s">
        <v>321</v>
      </c>
      <c r="B9" s="28" t="s">
        <v>322</v>
      </c>
      <c r="C9" s="36" t="s">
        <v>323</v>
      </c>
      <c r="D9" s="28" t="str">
        <f t="shared" ref="D9:D18" si="5">IF($C9="","",_xlfn.LET(_xlpm.h,SUBSTITUTE($C9,"#",""),_xlpm.r,HEX2DEC(LEFT(_xlpm.h,2)),_xlpm.g,HEX2DEC(MID(_xlpm.h,3,2)),_xlpm.b,HEX2DEC(RIGHT(_xlpm.h,2)),_xlpm.p,D$6,"#"&amp;DEC2HEX(ROUND(_xlpm.r*(1-_xlpm.p),0),2)&amp;DEC2HEX(ROUND(_xlpm.g*(1-_xlpm.p),0),2)&amp;DEC2HEX(ROUND(_xlpm.b*(1-_xlpm.p),0),2)))</f>
        <v>#E4A696</v>
      </c>
      <c r="E9" s="28" t="str">
        <f t="shared" ref="E9:E18" si="6">IF($C9="","",_xlfn.LET(_xlpm.h,SUBSTITUTE($C9,"#",""),_xlpm.r,HEX2DEC(LEFT(_xlpm.h,2)),_xlpm.g,HEX2DEC(MID(_xlpm.h,3,2)),_xlpm.b,HEX2DEC(RIGHT(_xlpm.h,2)),_xlpm.p,E$6,"#"&amp;DEC2HEX(ROUND(_xlpm.r*(1-_xlpm.p),0),2)&amp;DEC2HEX(ROUND(_xlpm.g*(1-_xlpm.p),0),2)&amp;DEC2HEX(ROUND(_xlpm.b*(1-_xlpm.p),0),2)))</f>
        <v>#D3998B</v>
      </c>
      <c r="F9" s="28" t="str">
        <f t="shared" ref="F9:F18" si="7">IF($C9="","",_xlfn.LET(_xlpm.h,SUBSTITUTE($C9,"#",""),_xlpm.r,HEX2DEC(LEFT(_xlpm.h,2)),_xlpm.g,HEX2DEC(MID(_xlpm.h,3,2)),_xlpm.b,HEX2DEC(RIGHT(_xlpm.h,2)),_xlpm.p,F$6,"#"&amp;DEC2HEX(ROUND(_xlpm.r+(255-_xlpm.r)*_xlpm.p,0),2)&amp;DEC2HEX(ROUND(_xlpm.g+(255-_xlpm.g)*_xlpm.p,0),2)&amp;DEC2HEX(ROUND(_xlpm.b+(255-_xlpm.b)*_xlpm.p,0),2)))</f>
        <v>#FEF4F1</v>
      </c>
      <c r="G9" s="28" t="str">
        <f t="shared" ref="G9:G18" si="8">IF($C9="","",_xlfn.LET(_xlpm.h,SUBSTITUTE($C9,"#",""),_xlpm.r,HEX2DEC(LEFT(_xlpm.h,2)),_xlpm.g,HEX2DEC(MID(_xlpm.h,3,2)),_xlpm.b,HEX2DEC(RIGHT(_xlpm.h,2)),_xlpm.p,G$6,"#"&amp;DEC2HEX(ROUND(_xlpm.r+(255-_xlpm.r)*_xlpm.p,0),2)&amp;DEC2HEX(ROUND(_xlpm.g+(255-_xlpm.g)*_xlpm.p,0),2)&amp;DEC2HEX(ROUND(_xlpm.b+(255-_xlpm.b)*_xlpm.p,0),2)))</f>
        <v>#FACBBF</v>
      </c>
      <c r="H9" s="28" t="str">
        <f t="shared" si="4"/>
        <v>#F8B4A380</v>
      </c>
    </row>
    <row r="10" spans="1:11">
      <c r="A10" s="27" t="s">
        <v>324</v>
      </c>
      <c r="B10" s="28" t="s">
        <v>325</v>
      </c>
      <c r="C10" s="36" t="s">
        <v>326</v>
      </c>
      <c r="D10" s="28" t="str">
        <f t="shared" ref="D10:D18" si="9">IF($C10="","",_xlfn.LET(_xlpm.h,SUBSTITUTE($C10,"#",""),_xlpm.r,HEX2DEC(LEFT(_xlpm.h,2)),_xlpm.g,HEX2DEC(MID(_xlpm.h,3,2)),_xlpm.b,HEX2DEC(RIGHT(_xlpm.h,2)),_xlpm.p,D$6,"#"&amp;DEC2HEX(ROUND(_xlpm.r*(1-_xlpm.p),0),2)&amp;DEC2HEX(ROUND(_xlpm.g*(1-_xlpm.p),0),2)&amp;DEC2HEX(ROUND(_xlpm.b*(1-_xlpm.p),0),2)))</f>
        <v>#EBEBEB</v>
      </c>
      <c r="E10" s="28" t="str">
        <f t="shared" ref="E10:E18" si="10">IF($C10="","",_xlfn.LET(_xlpm.h,SUBSTITUTE($C10,"#",""),_xlpm.r,HEX2DEC(LEFT(_xlpm.h,2)),_xlpm.g,HEX2DEC(MID(_xlpm.h,3,2)),_xlpm.b,HEX2DEC(RIGHT(_xlpm.h,2)),_xlpm.p,E$6,"#"&amp;DEC2HEX(ROUND(_xlpm.r*(1-_xlpm.p),0),2)&amp;DEC2HEX(ROUND(_xlpm.g*(1-_xlpm.p),0),2)&amp;DEC2HEX(ROUND(_xlpm.b*(1-_xlpm.p),0),2)))</f>
        <v>#D9D9D9</v>
      </c>
      <c r="F10" s="28" t="str">
        <f t="shared" ref="F10:F18" si="11">IF($C10="","",_xlfn.LET(_xlpm.h,SUBSTITUTE($C10,"#",""),_xlpm.r,HEX2DEC(LEFT(_xlpm.h,2)),_xlpm.g,HEX2DEC(MID(_xlpm.h,3,2)),_xlpm.b,HEX2DEC(RIGHT(_xlpm.h,2)),_xlpm.p,F$6,"#"&amp;DEC2HEX(ROUND(_xlpm.r+(255-_xlpm.r)*_xlpm.p,0),2)&amp;DEC2HEX(ROUND(_xlpm.g+(255-_xlpm.g)*_xlpm.p,0),2)&amp;DEC2HEX(ROUND(_xlpm.b+(255-_xlpm.b)*_xlpm.p,0),2)))</f>
        <v>#FFFFFF</v>
      </c>
      <c r="G10" s="28" t="str">
        <f t="shared" ref="G10:G18" si="12">IF($C10="","",_xlfn.LET(_xlpm.h,SUBSTITUTE($C10,"#",""),_xlpm.r,HEX2DEC(LEFT(_xlpm.h,2)),_xlpm.g,HEX2DEC(MID(_xlpm.h,3,2)),_xlpm.b,HEX2DEC(RIGHT(_xlpm.h,2)),_xlpm.p,G$6,"#"&amp;DEC2HEX(ROUND(_xlpm.r+(255-_xlpm.r)*_xlpm.p,0),2)&amp;DEC2HEX(ROUND(_xlpm.g+(255-_xlpm.g)*_xlpm.p,0),2)&amp;DEC2HEX(ROUND(_xlpm.b+(255-_xlpm.b)*_xlpm.p,0),2)))</f>
        <v>#FFFFFF</v>
      </c>
      <c r="H10" s="28" t="str">
        <f t="shared" si="4"/>
        <v>#FFFFFF80</v>
      </c>
    </row>
    <row r="11" spans="1:11">
      <c r="A11" s="27" t="s">
        <v>327</v>
      </c>
      <c r="B11" s="28" t="s">
        <v>328</v>
      </c>
      <c r="C11" s="36" t="s">
        <v>329</v>
      </c>
      <c r="D11" s="28" t="str">
        <f t="shared" ref="D11:D18" si="13">IF($C11="","",_xlfn.LET(_xlpm.h,SUBSTITUTE($C11,"#",""),_xlpm.r,HEX2DEC(LEFT(_xlpm.h,2)),_xlpm.g,HEX2DEC(MID(_xlpm.h,3,2)),_xlpm.b,HEX2DEC(RIGHT(_xlpm.h,2)),_xlpm.p,D$6,"#"&amp;DEC2HEX(ROUND(_xlpm.r*(1-_xlpm.p),0),2)&amp;DEC2HEX(ROUND(_xlpm.g*(1-_xlpm.p),0),2)&amp;DEC2HEX(ROUND(_xlpm.b*(1-_xlpm.p),0),2)))</f>
        <v>#E2DFD7</v>
      </c>
      <c r="E11" s="28" t="str">
        <f t="shared" ref="E11:E18" si="14">IF($C11="","",_xlfn.LET(_xlpm.h,SUBSTITUTE($C11,"#",""),_xlpm.r,HEX2DEC(LEFT(_xlpm.h,2)),_xlpm.g,HEX2DEC(MID(_xlpm.h,3,2)),_xlpm.b,HEX2DEC(RIGHT(_xlpm.h,2)),_xlpm.p,E$6,"#"&amp;DEC2HEX(ROUND(_xlpm.r*(1-_xlpm.p),0),2)&amp;DEC2HEX(ROUND(_xlpm.g*(1-_xlpm.p),0),2)&amp;DEC2HEX(ROUND(_xlpm.b*(1-_xlpm.p),0),2)))</f>
        <v>#D1CEC7</v>
      </c>
      <c r="F11" s="28" t="str">
        <f t="shared" ref="F11:F18" si="15">IF($C11="","",_xlfn.LET(_xlpm.h,SUBSTITUTE($C11,"#",""),_xlpm.r,HEX2DEC(LEFT(_xlpm.h,2)),_xlpm.g,HEX2DEC(MID(_xlpm.h,3,2)),_xlpm.b,HEX2DEC(RIGHT(_xlpm.h,2)),_xlpm.p,F$6,"#"&amp;DEC2HEX(ROUND(_xlpm.r+(255-_xlpm.r)*_xlpm.p,0),2)&amp;DEC2HEX(ROUND(_xlpm.g+(255-_xlpm.g)*_xlpm.p,0),2)&amp;DEC2HEX(ROUND(_xlpm.b+(255-_xlpm.b)*_xlpm.p,0),2)))</f>
        <v>#FEFDFC</v>
      </c>
      <c r="G11" s="28" t="str">
        <f t="shared" ref="G11:G18" si="16">IF($C11="","",_xlfn.LET(_xlpm.h,SUBSTITUTE($C11,"#",""),_xlpm.r,HEX2DEC(LEFT(_xlpm.h,2)),_xlpm.g,HEX2DEC(MID(_xlpm.h,3,2)),_xlpm.b,HEX2DEC(RIGHT(_xlpm.h,2)),_xlpm.p,G$6,"#"&amp;DEC2HEX(ROUND(_xlpm.r+(255-_xlpm.r)*_xlpm.p,0),2)&amp;DEC2HEX(ROUND(_xlpm.g+(255-_xlpm.g)*_xlpm.p,0),2)&amp;DEC2HEX(ROUND(_xlpm.b+(255-_xlpm.b)*_xlpm.p,0),2)))</f>
        <v>#F9F6F0</v>
      </c>
      <c r="H11" s="28" t="str">
        <f t="shared" si="4"/>
        <v>#F6F2EA80</v>
      </c>
    </row>
    <row r="12" spans="1:11">
      <c r="A12" s="27" t="s">
        <v>330</v>
      </c>
      <c r="B12" s="28" t="s">
        <v>331</v>
      </c>
      <c r="C12" s="36" t="s">
        <v>332</v>
      </c>
      <c r="D12" s="28" t="str">
        <f t="shared" ref="D12:D18" si="17">IF($C12="","",_xlfn.LET(_xlpm.h,SUBSTITUTE($C12,"#",""),_xlpm.r,HEX2DEC(LEFT(_xlpm.h,2)),_xlpm.g,HEX2DEC(MID(_xlpm.h,3,2)),_xlpm.b,HEX2DEC(RIGHT(_xlpm.h,2)),_xlpm.p,D$6,"#"&amp;DEC2HEX(ROUND(_xlpm.r*(1-_xlpm.p),0),2)&amp;DEC2HEX(ROUND(_xlpm.g*(1-_xlpm.p),0),2)&amp;DEC2HEX(ROUND(_xlpm.b*(1-_xlpm.p),0),2)))</f>
        <v>#26221B</v>
      </c>
      <c r="E12" s="28" t="str">
        <f t="shared" ref="E12:E18" si="18">IF($C12="","",_xlfn.LET(_xlpm.h,SUBSTITUTE($C12,"#",""),_xlpm.r,HEX2DEC(LEFT(_xlpm.h,2)),_xlpm.g,HEX2DEC(MID(_xlpm.h,3,2)),_xlpm.b,HEX2DEC(RIGHT(_xlpm.h,2)),_xlpm.p,E$6,"#"&amp;DEC2HEX(ROUND(_xlpm.r*(1-_xlpm.p),0),2)&amp;DEC2HEX(ROUND(_xlpm.g*(1-_xlpm.p),0),2)&amp;DEC2HEX(ROUND(_xlpm.b*(1-_xlpm.p),0),2)))</f>
        <v>#231F19</v>
      </c>
      <c r="F12" s="28" t="str">
        <f t="shared" ref="F12:F18" si="19">IF($C12="","",_xlfn.LET(_xlpm.h,SUBSTITUTE($C12,"#",""),_xlpm.r,HEX2DEC(LEFT(_xlpm.h,2)),_xlpm.g,HEX2DEC(MID(_xlpm.h,3,2)),_xlpm.b,HEX2DEC(RIGHT(_xlpm.h,2)),_xlpm.p,F$6,"#"&amp;DEC2HEX(ROUND(_xlpm.r+(255-_xlpm.r)*_xlpm.p,0),2)&amp;DEC2HEX(ROUND(_xlpm.g+(255-_xlpm.g)*_xlpm.p,0),2)&amp;DEC2HEX(ROUND(_xlpm.b+(255-_xlpm.b)*_xlpm.p,0),2)))</f>
        <v>#DFDEDD</v>
      </c>
      <c r="G12" s="28" t="str">
        <f t="shared" ref="G12:G18" si="20">IF($C12="","",_xlfn.LET(_xlpm.h,SUBSTITUTE($C12,"#",""),_xlpm.r,HEX2DEC(LEFT(_xlpm.h,2)),_xlpm.g,HEX2DEC(MID(_xlpm.h,3,2)),_xlpm.b,HEX2DEC(RIGHT(_xlpm.h,2)),_xlpm.p,G$6,"#"&amp;DEC2HEX(ROUND(_xlpm.r+(255-_xlpm.r)*_xlpm.p,0),2)&amp;DEC2HEX(ROUND(_xlpm.g+(255-_xlpm.g)*_xlpm.p,0),2)&amp;DEC2HEX(ROUND(_xlpm.b+(255-_xlpm.b)*_xlpm.p,0),2)))</f>
        <v>#696661</v>
      </c>
      <c r="H12" s="28" t="str">
        <f t="shared" si="4"/>
        <v>#29251D80</v>
      </c>
    </row>
    <row r="13" spans="1:11">
      <c r="A13" s="27" t="s">
        <v>333</v>
      </c>
      <c r="B13" s="28" t="s">
        <v>334</v>
      </c>
      <c r="C13" s="36" t="s">
        <v>335</v>
      </c>
      <c r="D13" s="28" t="str">
        <f t="shared" ref="D13:D18" si="21">IF($C13="","",_xlfn.LET(_xlpm.h,SUBSTITUTE($C13,"#",""),_xlpm.r,HEX2DEC(LEFT(_xlpm.h,2)),_xlpm.g,HEX2DEC(MID(_xlpm.h,3,2)),_xlpm.b,HEX2DEC(RIGHT(_xlpm.h,2)),_xlpm.p,D$6,"#"&amp;DEC2HEX(ROUND(_xlpm.r*(1-_xlpm.p),0),2)&amp;DEC2HEX(ROUND(_xlpm.g*(1-_xlpm.p),0),2)&amp;DEC2HEX(ROUND(_xlpm.b*(1-_xlpm.p),0),2)))</f>
        <v>#474749</v>
      </c>
      <c r="E13" s="28" t="str">
        <f t="shared" ref="E13:E18" si="22">IF($C13="","",_xlfn.LET(_xlpm.h,SUBSTITUTE($C13,"#",""),_xlpm.r,HEX2DEC(LEFT(_xlpm.h,2)),_xlpm.g,HEX2DEC(MID(_xlpm.h,3,2)),_xlpm.b,HEX2DEC(RIGHT(_xlpm.h,2)),_xlpm.p,E$6,"#"&amp;DEC2HEX(ROUND(_xlpm.r*(1-_xlpm.p),0),2)&amp;DEC2HEX(ROUND(_xlpm.g*(1-_xlpm.p),0),2)&amp;DEC2HEX(ROUND(_xlpm.b*(1-_xlpm.p),0),2)))</f>
        <v>#414143</v>
      </c>
      <c r="F13" s="28" t="str">
        <f t="shared" ref="F13:F18" si="23">IF($C13="","",_xlfn.LET(_xlpm.h,SUBSTITUTE($C13,"#",""),_xlpm.r,HEX2DEC(LEFT(_xlpm.h,2)),_xlpm.g,HEX2DEC(MID(_xlpm.h,3,2)),_xlpm.b,HEX2DEC(RIGHT(_xlpm.h,2)),_xlpm.p,F$6,"#"&amp;DEC2HEX(ROUND(_xlpm.r+(255-_xlpm.r)*_xlpm.p,0),2)&amp;DEC2HEX(ROUND(_xlpm.g+(255-_xlpm.g)*_xlpm.p,0),2)&amp;DEC2HEX(ROUND(_xlpm.b+(255-_xlpm.b)*_xlpm.p,0),2)))</f>
        <v>#E4E4E5</v>
      </c>
      <c r="G13" s="28" t="str">
        <f t="shared" ref="G13:G18" si="24">IF($C13="","",_xlfn.LET(_xlpm.h,SUBSTITUTE($C13,"#",""),_xlpm.r,HEX2DEC(LEFT(_xlpm.h,2)),_xlpm.g,HEX2DEC(MID(_xlpm.h,3,2)),_xlpm.b,HEX2DEC(RIGHT(_xlpm.h,2)),_xlpm.p,G$6,"#"&amp;DEC2HEX(ROUND(_xlpm.r+(255-_xlpm.r)*_xlpm.p,0),2)&amp;DEC2HEX(ROUND(_xlpm.g+(255-_xlpm.g)*_xlpm.p,0),2)&amp;DEC2HEX(ROUND(_xlpm.b+(255-_xlpm.b)*_xlpm.p,0),2)))</f>
        <v>#828284</v>
      </c>
      <c r="H13" s="28" t="str">
        <f t="shared" si="4"/>
        <v>#4D4D4F80</v>
      </c>
    </row>
    <row r="14" spans="1:11">
      <c r="A14" s="27" t="s">
        <v>336</v>
      </c>
      <c r="B14" s="28" t="s">
        <v>337</v>
      </c>
      <c r="C14" s="36" t="s">
        <v>338</v>
      </c>
      <c r="D14" s="28" t="str">
        <f t="shared" ref="D14:D18" si="25">IF($C14="","",_xlfn.LET(_xlpm.h,SUBSTITUTE($C14,"#",""),_xlpm.r,HEX2DEC(LEFT(_xlpm.h,2)),_xlpm.g,HEX2DEC(MID(_xlpm.h,3,2)),_xlpm.b,HEX2DEC(RIGHT(_xlpm.h,2)),_xlpm.p,D$6,"#"&amp;DEC2HEX(ROUND(_xlpm.r*(1-_xlpm.p),0),2)&amp;DEC2HEX(ROUND(_xlpm.g*(1-_xlpm.p),0),2)&amp;DEC2HEX(ROUND(_xlpm.b*(1-_xlpm.p),0),2)))</f>
        <v>#D3CDC2</v>
      </c>
      <c r="E14" s="28" t="str">
        <f t="shared" ref="E14:E18" si="26">IF($C14="","",_xlfn.LET(_xlpm.h,SUBSTITUTE($C14,"#",""),_xlpm.r,HEX2DEC(LEFT(_xlpm.h,2)),_xlpm.g,HEX2DEC(MID(_xlpm.h,3,2)),_xlpm.b,HEX2DEC(RIGHT(_xlpm.h,2)),_xlpm.p,E$6,"#"&amp;DEC2HEX(ROUND(_xlpm.r*(1-_xlpm.p),0),2)&amp;DEC2HEX(ROUND(_xlpm.g*(1-_xlpm.p),0),2)&amp;DEC2HEX(ROUND(_xlpm.b*(1-_xlpm.p),0),2)))</f>
        <v>#C3BEB3</v>
      </c>
      <c r="F14" s="28" t="str">
        <f t="shared" ref="F14:F18" si="27">IF($C14="","",_xlfn.LET(_xlpm.h,SUBSTITUTE($C14,"#",""),_xlpm.r,HEX2DEC(LEFT(_xlpm.h,2)),_xlpm.g,HEX2DEC(MID(_xlpm.h,3,2)),_xlpm.b,HEX2DEC(RIGHT(_xlpm.h,2)),_xlpm.p,F$6,"#"&amp;DEC2HEX(ROUND(_xlpm.r+(255-_xlpm.r)*_xlpm.p,0),2)&amp;DEC2HEX(ROUND(_xlpm.g+(255-_xlpm.g)*_xlpm.p,0),2)&amp;DEC2HEX(ROUND(_xlpm.b+(255-_xlpm.b)*_xlpm.p,0),2)))</f>
        <v>#FBFAF8</v>
      </c>
      <c r="G14" s="28" t="str">
        <f t="shared" ref="G14:G18" si="28">IF($C14="","",_xlfn.LET(_xlpm.h,SUBSTITUTE($C14,"#",""),_xlpm.r,HEX2DEC(LEFT(_xlpm.h,2)),_xlpm.g,HEX2DEC(MID(_xlpm.h,3,2)),_xlpm.b,HEX2DEC(RIGHT(_xlpm.h,2)),_xlpm.p,G$6,"#"&amp;DEC2HEX(ROUND(_xlpm.r+(255-_xlpm.r)*_xlpm.p,0),2)&amp;DEC2HEX(ROUND(_xlpm.g+(255-_xlpm.g)*_xlpm.p,0),2)&amp;DEC2HEX(ROUND(_xlpm.b+(255-_xlpm.b)*_xlpm.p,0),2)))</f>
        <v>#EDE9E0</v>
      </c>
      <c r="H14" s="28" t="str">
        <f t="shared" si="4"/>
        <v>#E5DFD380</v>
      </c>
    </row>
    <row r="15" spans="1:11">
      <c r="A15" s="27" t="s">
        <v>9</v>
      </c>
      <c r="B15" s="28" t="s">
        <v>339</v>
      </c>
      <c r="C15" s="36" t="s">
        <v>340</v>
      </c>
      <c r="D15" s="28" t="str">
        <f t="shared" ref="D15:D18" si="29">IF($C15="","",_xlfn.LET(_xlpm.h,SUBSTITUTE($C15,"#",""),_xlpm.r,HEX2DEC(LEFT(_xlpm.h,2)),_xlpm.g,HEX2DEC(MID(_xlpm.h,3,2)),_xlpm.b,HEX2DEC(RIGHT(_xlpm.h,2)),_xlpm.p,D$6,"#"&amp;DEC2HEX(ROUND(_xlpm.r*(1-_xlpm.p),0),2)&amp;DEC2HEX(ROUND(_xlpm.g*(1-_xlpm.p),0),2)&amp;DEC2HEX(ROUND(_xlpm.b*(1-_xlpm.p),0),2)))</f>
        <v>#2A732E</v>
      </c>
      <c r="E15" s="28" t="str">
        <f t="shared" ref="E15:E18" si="30">IF($C15="","",_xlfn.LET(_xlpm.h,SUBSTITUTE($C15,"#",""),_xlpm.r,HEX2DEC(LEFT(_xlpm.h,2)),_xlpm.g,HEX2DEC(MID(_xlpm.h,3,2)),_xlpm.b,HEX2DEC(RIGHT(_xlpm.h,2)),_xlpm.p,E$6,"#"&amp;DEC2HEX(ROUND(_xlpm.r*(1-_xlpm.p),0),2)&amp;DEC2HEX(ROUND(_xlpm.g*(1-_xlpm.p),0),2)&amp;DEC2HEX(ROUND(_xlpm.b*(1-_xlpm.p),0),2)))</f>
        <v>#276A2B</v>
      </c>
      <c r="F15" s="28" t="str">
        <f t="shared" ref="F15:F18" si="31">IF($C15="","",_xlfn.LET(_xlpm.h,SUBSTITUTE($C15,"#",""),_xlpm.r,HEX2DEC(LEFT(_xlpm.h,2)),_xlpm.g,HEX2DEC(MID(_xlpm.h,3,2)),_xlpm.b,HEX2DEC(RIGHT(_xlpm.h,2)),_xlpm.p,F$6,"#"&amp;DEC2HEX(ROUND(_xlpm.r+(255-_xlpm.r)*_xlpm.p,0),2)&amp;DEC2HEX(ROUND(_xlpm.g+(255-_xlpm.g)*_xlpm.p,0),2)&amp;DEC2HEX(ROUND(_xlpm.b+(255-_xlpm.b)*_xlpm.p,0),2)))</f>
        <v>#E0ECE0</v>
      </c>
      <c r="G15" s="28" t="str">
        <f t="shared" ref="G15:G18" si="32">IF($C15="","",_xlfn.LET(_xlpm.h,SUBSTITUTE($C15,"#",""),_xlpm.r,HEX2DEC(LEFT(_xlpm.h,2)),_xlpm.g,HEX2DEC(MID(_xlpm.h,3,2)),_xlpm.b,HEX2DEC(RIGHT(_xlpm.h,2)),_xlpm.p,G$6,"#"&amp;DEC2HEX(ROUND(_xlpm.r+(255-_xlpm.r)*_xlpm.p,0),2)&amp;DEC2HEX(ROUND(_xlpm.g+(255-_xlpm.g)*_xlpm.p,0),2)&amp;DEC2HEX(ROUND(_xlpm.b+(255-_xlpm.b)*_xlpm.p,0),2)))</f>
        <v>#6DA470</v>
      </c>
      <c r="H15" s="28" t="str">
        <f t="shared" si="4"/>
        <v>#2E7D3280</v>
      </c>
    </row>
    <row r="16" spans="1:11">
      <c r="A16" s="27" t="s">
        <v>341</v>
      </c>
      <c r="B16" s="28" t="s">
        <v>342</v>
      </c>
      <c r="C16" s="36" t="s">
        <v>343</v>
      </c>
      <c r="D16" s="28" t="str">
        <f t="shared" ref="D16:D18" si="33">IF($C16="","",_xlfn.LET(_xlpm.h,SUBSTITUTE($C16,"#",""),_xlpm.r,HEX2DEC(LEFT(_xlpm.h,2)),_xlpm.g,HEX2DEC(MID(_xlpm.h,3,2)),_xlpm.b,HEX2DEC(RIGHT(_xlpm.h,2)),_xlpm.p,D$6,"#"&amp;DEC2HEX(ROUND(_xlpm.r*(1-_xlpm.p),0),2)&amp;DEC2HEX(ROUND(_xlpm.g*(1-_xlpm.p),0),2)&amp;DEC2HEX(ROUND(_xlpm.b*(1-_xlpm.p),0),2)))</f>
        <v>#A74107</v>
      </c>
      <c r="E16" s="28" t="str">
        <f t="shared" ref="E16:E18" si="34">IF($C16="","",_xlfn.LET(_xlpm.h,SUBSTITUTE($C16,"#",""),_xlpm.r,HEX2DEC(LEFT(_xlpm.h,2)),_xlpm.g,HEX2DEC(MID(_xlpm.h,3,2)),_xlpm.b,HEX2DEC(RIGHT(_xlpm.h,2)),_xlpm.p,E$6,"#"&amp;DEC2HEX(ROUND(_xlpm.r*(1-_xlpm.p),0),2)&amp;DEC2HEX(ROUND(_xlpm.g*(1-_xlpm.p),0),2)&amp;DEC2HEX(ROUND(_xlpm.b*(1-_xlpm.p),0),2)))</f>
        <v>#9A3C07</v>
      </c>
      <c r="F16" s="28" t="str">
        <f t="shared" ref="F16:F18" si="35">IF($C16="","",_xlfn.LET(_xlpm.h,SUBSTITUTE($C16,"#",""),_xlpm.r,HEX2DEC(LEFT(_xlpm.h,2)),_xlpm.g,HEX2DEC(MID(_xlpm.h,3,2)),_xlpm.b,HEX2DEC(RIGHT(_xlpm.h,2)),_xlpm.p,F$6,"#"&amp;DEC2HEX(ROUND(_xlpm.r+(255-_xlpm.r)*_xlpm.p,0),2)&amp;DEC2HEX(ROUND(_xlpm.g+(255-_xlpm.g)*_xlpm.p,0),2)&amp;DEC2HEX(ROUND(_xlpm.b+(255-_xlpm.b)*_xlpm.p,0),2)))</f>
        <v>#F4E3DA</v>
      </c>
      <c r="G16" s="28" t="str">
        <f t="shared" ref="G16:G18" si="36">IF($C16="","",_xlfn.LET(_xlpm.h,SUBSTITUTE($C16,"#",""),_xlpm.r,HEX2DEC(LEFT(_xlpm.h,2)),_xlpm.g,HEX2DEC(MID(_xlpm.h,3,2)),_xlpm.b,HEX2DEC(RIGHT(_xlpm.h,2)),_xlpm.p,G$6,"#"&amp;DEC2HEX(ROUND(_xlpm.r+(255-_xlpm.r)*_xlpm.p,0),2)&amp;DEC2HEX(ROUND(_xlpm.g+(255-_xlpm.g)*_xlpm.p,0),2)&amp;DEC2HEX(ROUND(_xlpm.b+(255-_xlpm.b)*_xlpm.p,0),2)))</f>
        <v>#CB7E52</v>
      </c>
      <c r="H16" s="28" t="str">
        <f t="shared" si="4"/>
        <v>#B5470880</v>
      </c>
    </row>
    <row r="17" spans="1:8">
      <c r="A17" s="27" t="s">
        <v>344</v>
      </c>
      <c r="B17" s="28" t="s">
        <v>345</v>
      </c>
      <c r="C17" s="36" t="s">
        <v>346</v>
      </c>
      <c r="D17" s="28" t="str">
        <f t="shared" ref="D17:D18" si="37">IF($C17="","",_xlfn.LET(_xlpm.h,SUBSTITUTE($C17,"#",""),_xlpm.r,HEX2DEC(LEFT(_xlpm.h,2)),_xlpm.g,HEX2DEC(MID(_xlpm.h,3,2)),_xlpm.b,HEX2DEC(RIGHT(_xlpm.h,2)),_xlpm.p,D$6,"#"&amp;DEC2HEX(ROUND(_xlpm.r*(1-_xlpm.p),0),2)&amp;DEC2HEX(ROUND(_xlpm.g*(1-_xlpm.p),0),2)&amp;DEC2HEX(ROUND(_xlpm.b*(1-_xlpm.p),0),2)))</f>
        <v>#A62016</v>
      </c>
      <c r="E17" s="28" t="str">
        <f t="shared" ref="E17:E18" si="38">IF($C17="","",_xlfn.LET(_xlpm.h,SUBSTITUTE($C17,"#",""),_xlpm.r,HEX2DEC(LEFT(_xlpm.h,2)),_xlpm.g,HEX2DEC(MID(_xlpm.h,3,2)),_xlpm.b,HEX2DEC(RIGHT(_xlpm.h,2)),_xlpm.p,E$6,"#"&amp;DEC2HEX(ROUND(_xlpm.r*(1-_xlpm.p),0),2)&amp;DEC2HEX(ROUND(_xlpm.g*(1-_xlpm.p),0),2)&amp;DEC2HEX(ROUND(_xlpm.b*(1-_xlpm.p),0),2)))</f>
        <v>#991E14</v>
      </c>
      <c r="F17" s="28" t="str">
        <f t="shared" ref="F17:F18" si="39">IF($C17="","",_xlfn.LET(_xlpm.h,SUBSTITUTE($C17,"#",""),_xlpm.r,HEX2DEC(LEFT(_xlpm.h,2)),_xlpm.g,HEX2DEC(MID(_xlpm.h,3,2)),_xlpm.b,HEX2DEC(RIGHT(_xlpm.h,2)),_xlpm.p,F$6,"#"&amp;DEC2HEX(ROUND(_xlpm.r+(255-_xlpm.r)*_xlpm.p,0),2)&amp;DEC2HEX(ROUND(_xlpm.g+(255-_xlpm.g)*_xlpm.p,0),2)&amp;DEC2HEX(ROUND(_xlpm.b+(255-_xlpm.b)*_xlpm.p,0),2)))</f>
        <v>#F4DEDC</v>
      </c>
      <c r="G17" s="28" t="str">
        <f t="shared" ref="G17:G18" si="40">IF($C17="","",_xlfn.LET(_xlpm.h,SUBSTITUTE($C17,"#",""),_xlpm.r,HEX2DEC(LEFT(_xlpm.h,2)),_xlpm.g,HEX2DEC(MID(_xlpm.h,3,2)),_xlpm.b,HEX2DEC(RIGHT(_xlpm.h,2)),_xlpm.p,G$6,"#"&amp;DEC2HEX(ROUND(_xlpm.r+(255-_xlpm.r)*_xlpm.p,0),2)&amp;DEC2HEX(ROUND(_xlpm.g+(255-_xlpm.g)*_xlpm.p,0),2)&amp;DEC2HEX(ROUND(_xlpm.b+(255-_xlpm.b)*_xlpm.p,0),2)))</f>
        <v>#CB655D</v>
      </c>
      <c r="H17" s="28" t="str">
        <f t="shared" si="4"/>
        <v>#B4231880</v>
      </c>
    </row>
    <row r="18" spans="1:8">
      <c r="A18" s="27" t="s">
        <v>347</v>
      </c>
      <c r="B18" s="28" t="s">
        <v>348</v>
      </c>
      <c r="C18" s="36" t="s">
        <v>320</v>
      </c>
      <c r="D18" s="28" t="str">
        <f t="shared" ref="D18" si="41">IF($C18="","",_xlfn.LET(_xlpm.h,SUBSTITUTE($C18,"#",""),_xlpm.r,HEX2DEC(LEFT(_xlpm.h,2)),_xlpm.g,HEX2DEC(MID(_xlpm.h,3,2)),_xlpm.b,HEX2DEC(RIGHT(_xlpm.h,2)),_xlpm.p,D$6,"#"&amp;DEC2HEX(ROUND(_xlpm.r*(1-_xlpm.p),0),2)&amp;DEC2HEX(ROUND(_xlpm.g*(1-_xlpm.p),0),2)&amp;DEC2HEX(ROUND(_xlpm.b*(1-_xlpm.p),0),2)))</f>
        <v>#090734</v>
      </c>
      <c r="E18" s="28" t="str">
        <f t="shared" ref="E18" si="42">IF($C18="","",_xlfn.LET(_xlpm.h,SUBSTITUTE($C18,"#",""),_xlpm.r,HEX2DEC(LEFT(_xlpm.h,2)),_xlpm.g,HEX2DEC(MID(_xlpm.h,3,2)),_xlpm.b,HEX2DEC(RIGHT(_xlpm.h,2)),_xlpm.p,E$6,"#"&amp;DEC2HEX(ROUND(_xlpm.r*(1-_xlpm.p),0),2)&amp;DEC2HEX(ROUND(_xlpm.g*(1-_xlpm.p),0),2)&amp;DEC2HEX(ROUND(_xlpm.b*(1-_xlpm.p),0),2)))</f>
        <v>#090730</v>
      </c>
      <c r="F18" s="28" t="str">
        <f t="shared" ref="F18" si="43">IF($C18="","",_xlfn.LET(_xlpm.h,SUBSTITUTE($C18,"#",""),_xlpm.r,HEX2DEC(LEFT(_xlpm.h,2)),_xlpm.g,HEX2DEC(MID(_xlpm.h,3,2)),_xlpm.b,HEX2DEC(RIGHT(_xlpm.h,2)),_xlpm.p,F$6,"#"&amp;DEC2HEX(ROUND(_xlpm.r+(255-_xlpm.r)*_xlpm.p,0),2)&amp;DEC2HEX(ROUND(_xlpm.g+(255-_xlpm.g)*_xlpm.p,0),2)&amp;DEC2HEX(ROUND(_xlpm.b+(255-_xlpm.b)*_xlpm.p,0),2)))</f>
        <v>#DADAE1</v>
      </c>
      <c r="G18" s="28" t="str">
        <f t="shared" ref="G18" si="44">IF($C18="","",_xlfn.LET(_xlpm.h,SUBSTITUTE($C18,"#",""),_xlpm.r,HEX2DEC(LEFT(_xlpm.h,2)),_xlpm.g,HEX2DEC(MID(_xlpm.h,3,2)),_xlpm.b,HEX2DEC(RIGHT(_xlpm.h,2)),_xlpm.p,G$6,"#"&amp;DEC2HEX(ROUND(_xlpm.r+(255-_xlpm.r)*_xlpm.p,0),2)&amp;DEC2HEX(ROUND(_xlpm.g+(255-_xlpm.g)*_xlpm.p,0),2)&amp;DEC2HEX(ROUND(_xlpm.b+(255-_xlpm.b)*_xlpm.p,0),2)))</f>
        <v>#545274</v>
      </c>
      <c r="H18" s="28" t="str">
        <f t="shared" si="4"/>
        <v>#0A083880</v>
      </c>
    </row>
    <row r="21" spans="1:8" ht="30.75">
      <c r="A21" s="32" t="s">
        <v>111</v>
      </c>
      <c r="B21" s="32" t="s">
        <v>349</v>
      </c>
      <c r="C21" s="41" t="s">
        <v>350</v>
      </c>
      <c r="D21" s="41" t="s">
        <v>351</v>
      </c>
      <c r="E21" s="41" t="s">
        <v>352</v>
      </c>
    </row>
    <row r="22" spans="1:8" ht="30.75">
      <c r="A22" s="33" t="s">
        <v>302</v>
      </c>
      <c r="B22" s="34" t="s">
        <v>353</v>
      </c>
      <c r="C22" s="35" t="s">
        <v>354</v>
      </c>
      <c r="D22" s="35" t="s">
        <v>326</v>
      </c>
      <c r="E22" s="35" t="s">
        <v>354</v>
      </c>
    </row>
    <row r="23" spans="1:8" ht="30.75">
      <c r="A23" s="33" t="s">
        <v>242</v>
      </c>
      <c r="B23" s="34" t="s">
        <v>355</v>
      </c>
      <c r="C23" s="35" t="s">
        <v>356</v>
      </c>
      <c r="D23" s="35" t="s">
        <v>357</v>
      </c>
      <c r="E23" s="35" t="s">
        <v>356</v>
      </c>
    </row>
    <row r="24" spans="1:8" ht="30.75">
      <c r="A24" s="33" t="s">
        <v>358</v>
      </c>
      <c r="B24" s="34" t="s">
        <v>359</v>
      </c>
      <c r="C24" s="35" t="s">
        <v>360</v>
      </c>
      <c r="D24" s="35" t="s">
        <v>361</v>
      </c>
      <c r="E24" s="35" t="s">
        <v>360</v>
      </c>
    </row>
    <row r="25" spans="1:8" ht="30.75">
      <c r="A25" s="33" t="s">
        <v>227</v>
      </c>
      <c r="B25" s="34" t="s">
        <v>362</v>
      </c>
      <c r="C25" s="35" t="s">
        <v>363</v>
      </c>
      <c r="D25" s="35" t="s">
        <v>364</v>
      </c>
      <c r="E25" s="35" t="s">
        <v>363</v>
      </c>
    </row>
    <row r="26" spans="1:8" ht="30.75">
      <c r="A26" s="33" t="s">
        <v>365</v>
      </c>
      <c r="B26" s="34" t="s">
        <v>366</v>
      </c>
      <c r="C26" s="35" t="s">
        <v>367</v>
      </c>
      <c r="D26" s="35" t="s">
        <v>368</v>
      </c>
      <c r="E26" s="35" t="s">
        <v>367</v>
      </c>
    </row>
    <row r="27" spans="1:8" ht="30.75">
      <c r="A27" s="33" t="s">
        <v>369</v>
      </c>
      <c r="B27" s="34" t="s">
        <v>370</v>
      </c>
      <c r="C27" s="35" t="s">
        <v>371</v>
      </c>
      <c r="D27" s="35" t="s">
        <v>372</v>
      </c>
      <c r="E27" s="35" t="s">
        <v>371</v>
      </c>
    </row>
    <row r="28" spans="1:8" ht="30.75">
      <c r="A28" s="33" t="s">
        <v>373</v>
      </c>
      <c r="B28" s="34" t="s">
        <v>374</v>
      </c>
      <c r="C28" s="35" t="s">
        <v>375</v>
      </c>
      <c r="D28" s="35" t="s">
        <v>376</v>
      </c>
      <c r="E28" s="35" t="s">
        <v>375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76299-DD4F-4920-9D19-D431322D50F7}">
  <dimension ref="A2:Q24"/>
  <sheetViews>
    <sheetView topLeftCell="I4" workbookViewId="0">
      <selection activeCell="L5" sqref="L5"/>
    </sheetView>
  </sheetViews>
  <sheetFormatPr defaultColWidth="16.28515625" defaultRowHeight="15"/>
  <cols>
    <col min="1" max="16" width="16.28515625" style="63"/>
    <col min="17" max="17" width="41.140625" style="63" customWidth="1"/>
    <col min="18" max="16384" width="16.28515625" style="63"/>
  </cols>
  <sheetData>
    <row r="2" spans="1:17" ht="18">
      <c r="A2" s="108" t="s">
        <v>377</v>
      </c>
      <c r="B2" s="108"/>
      <c r="C2" s="108"/>
      <c r="D2" s="108"/>
      <c r="F2" s="125" t="s">
        <v>378</v>
      </c>
      <c r="G2" s="125"/>
      <c r="H2" s="125"/>
      <c r="I2" s="125"/>
      <c r="J2" s="125"/>
      <c r="K2" s="125"/>
      <c r="L2" s="125"/>
    </row>
    <row r="3" spans="1:17" ht="16.5">
      <c r="A3" s="68" t="s">
        <v>112</v>
      </c>
      <c r="B3" s="69" t="s">
        <v>225</v>
      </c>
      <c r="C3" s="69" t="s">
        <v>226</v>
      </c>
      <c r="D3" s="69" t="s">
        <v>6</v>
      </c>
      <c r="F3" s="108" t="s">
        <v>379</v>
      </c>
      <c r="G3" s="108"/>
      <c r="H3" s="108"/>
      <c r="I3" s="108"/>
      <c r="J3" s="108"/>
      <c r="K3" s="108"/>
      <c r="M3" s="108" t="s">
        <v>380</v>
      </c>
      <c r="N3" s="108"/>
      <c r="O3" s="108"/>
      <c r="Q3" s="67" t="s">
        <v>381</v>
      </c>
    </row>
    <row r="4" spans="1:17" ht="50.25">
      <c r="A4" s="70" t="s">
        <v>382</v>
      </c>
      <c r="B4" s="71" t="s">
        <v>383</v>
      </c>
      <c r="C4" s="71">
        <v>23</v>
      </c>
      <c r="D4" s="73">
        <v>46204</v>
      </c>
      <c r="F4" s="68" t="s">
        <v>384</v>
      </c>
      <c r="G4" s="69" t="s">
        <v>385</v>
      </c>
      <c r="H4" s="69" t="s">
        <v>386</v>
      </c>
      <c r="I4" s="69" t="s">
        <v>387</v>
      </c>
      <c r="J4" s="69" t="s">
        <v>388</v>
      </c>
      <c r="K4" s="69" t="s">
        <v>389</v>
      </c>
      <c r="M4" s="68" t="s">
        <v>111</v>
      </c>
      <c r="N4" s="69" t="s">
        <v>390</v>
      </c>
      <c r="O4" s="69" t="s">
        <v>391</v>
      </c>
      <c r="Q4" s="68" t="s">
        <v>392</v>
      </c>
    </row>
    <row r="5" spans="1:17" ht="84">
      <c r="A5" s="74" t="s">
        <v>382</v>
      </c>
      <c r="B5" s="75" t="s">
        <v>393</v>
      </c>
      <c r="C5" s="75">
        <v>1</v>
      </c>
      <c r="D5" s="77">
        <v>46204</v>
      </c>
      <c r="F5" s="70" t="s">
        <v>394</v>
      </c>
      <c r="G5" s="71">
        <v>24</v>
      </c>
      <c r="H5" s="71">
        <v>7</v>
      </c>
      <c r="I5" s="71">
        <v>22</v>
      </c>
      <c r="J5" s="73">
        <v>46216</v>
      </c>
      <c r="K5" s="73">
        <v>46304</v>
      </c>
      <c r="M5" s="70" t="s">
        <v>395</v>
      </c>
      <c r="N5" s="71" t="s">
        <v>396</v>
      </c>
      <c r="O5" s="71">
        <v>1</v>
      </c>
      <c r="Q5" s="70" t="s">
        <v>397</v>
      </c>
    </row>
    <row r="6" spans="1:17" ht="84">
      <c r="A6" s="70" t="s">
        <v>382</v>
      </c>
      <c r="B6" s="71" t="s">
        <v>398</v>
      </c>
      <c r="C6" s="71">
        <v>22</v>
      </c>
      <c r="D6" s="73">
        <v>46204</v>
      </c>
      <c r="M6" s="74" t="s">
        <v>395</v>
      </c>
      <c r="N6" s="75" t="s">
        <v>399</v>
      </c>
      <c r="O6" s="75">
        <v>2</v>
      </c>
    </row>
    <row r="7" spans="1:17" ht="50.25">
      <c r="A7" s="74" t="s">
        <v>382</v>
      </c>
      <c r="B7" s="75" t="s">
        <v>400</v>
      </c>
      <c r="C7" s="75">
        <v>70</v>
      </c>
      <c r="D7" s="77">
        <v>46204</v>
      </c>
      <c r="M7" s="70" t="s">
        <v>395</v>
      </c>
      <c r="N7" s="71" t="s">
        <v>401</v>
      </c>
      <c r="O7" s="71">
        <v>3</v>
      </c>
    </row>
    <row r="8" spans="1:17" ht="66.75">
      <c r="A8" s="70" t="s">
        <v>402</v>
      </c>
      <c r="B8" s="71" t="s">
        <v>403</v>
      </c>
      <c r="C8" s="71">
        <v>30</v>
      </c>
      <c r="D8" s="73">
        <v>46204</v>
      </c>
      <c r="M8" s="74" t="s">
        <v>395</v>
      </c>
      <c r="N8" s="75" t="s">
        <v>404</v>
      </c>
      <c r="O8" s="75">
        <v>4</v>
      </c>
    </row>
    <row r="9" spans="1:17" ht="100.5">
      <c r="A9" s="74" t="s">
        <v>402</v>
      </c>
      <c r="B9" s="75" t="s">
        <v>405</v>
      </c>
      <c r="C9" s="75">
        <v>1</v>
      </c>
      <c r="D9" s="77">
        <v>46204</v>
      </c>
      <c r="M9" s="70" t="s">
        <v>395</v>
      </c>
      <c r="N9" s="71" t="s">
        <v>406</v>
      </c>
      <c r="O9" s="71">
        <v>5</v>
      </c>
    </row>
    <row r="10" spans="1:17" ht="33.75">
      <c r="A10" s="70" t="s">
        <v>402</v>
      </c>
      <c r="B10" s="71" t="s">
        <v>398</v>
      </c>
      <c r="C10" s="71">
        <v>4</v>
      </c>
      <c r="D10" s="73">
        <v>46204</v>
      </c>
      <c r="M10" s="74" t="s">
        <v>395</v>
      </c>
      <c r="N10" s="75" t="s">
        <v>407</v>
      </c>
      <c r="O10" s="75">
        <v>6</v>
      </c>
    </row>
    <row r="11" spans="1:17" ht="66.75">
      <c r="A11" s="74" t="s">
        <v>402</v>
      </c>
      <c r="B11" s="75" t="s">
        <v>400</v>
      </c>
      <c r="C11" s="75">
        <v>13</v>
      </c>
      <c r="D11" s="77">
        <v>46204</v>
      </c>
      <c r="M11" s="70" t="s">
        <v>395</v>
      </c>
      <c r="N11" s="71" t="s">
        <v>408</v>
      </c>
      <c r="O11" s="71">
        <v>7</v>
      </c>
    </row>
    <row r="12" spans="1:17" ht="84">
      <c r="A12" s="80"/>
      <c r="B12" s="80"/>
      <c r="C12" s="80"/>
      <c r="D12" s="80"/>
      <c r="M12" s="74" t="s">
        <v>409</v>
      </c>
      <c r="N12" s="75" t="s">
        <v>410</v>
      </c>
      <c r="O12" s="75">
        <v>1</v>
      </c>
    </row>
    <row r="13" spans="1:17" ht="84">
      <c r="A13" s="124" t="s">
        <v>411</v>
      </c>
      <c r="B13" s="124"/>
      <c r="C13" s="124"/>
      <c r="D13" s="124"/>
      <c r="M13" s="70" t="s">
        <v>409</v>
      </c>
      <c r="N13" s="71" t="s">
        <v>412</v>
      </c>
      <c r="O13" s="71">
        <v>2</v>
      </c>
    </row>
    <row r="14" spans="1:17" ht="66.75">
      <c r="A14" s="68" t="s">
        <v>413</v>
      </c>
      <c r="B14" s="69" t="s">
        <v>111</v>
      </c>
      <c r="C14" s="69" t="s">
        <v>414</v>
      </c>
      <c r="D14" s="69" t="s">
        <v>415</v>
      </c>
      <c r="M14" s="74" t="s">
        <v>409</v>
      </c>
      <c r="N14" s="75" t="s">
        <v>416</v>
      </c>
      <c r="O14" s="75">
        <v>3</v>
      </c>
    </row>
    <row r="15" spans="1:17" ht="134.25">
      <c r="A15" s="70" t="s">
        <v>417</v>
      </c>
      <c r="B15" s="71" t="s">
        <v>418</v>
      </c>
      <c r="C15" s="71">
        <v>8</v>
      </c>
      <c r="D15" s="73">
        <v>46295</v>
      </c>
      <c r="M15" s="70" t="s">
        <v>409</v>
      </c>
      <c r="N15" s="71" t="s">
        <v>419</v>
      </c>
      <c r="O15" s="71">
        <v>4</v>
      </c>
    </row>
    <row r="16" spans="1:17" ht="117">
      <c r="A16" s="74" t="s">
        <v>420</v>
      </c>
      <c r="B16" s="75" t="s">
        <v>418</v>
      </c>
      <c r="C16" s="75">
        <v>12</v>
      </c>
      <c r="D16" s="77">
        <v>46265</v>
      </c>
      <c r="M16" s="74" t="s">
        <v>409</v>
      </c>
      <c r="N16" s="75" t="s">
        <v>421</v>
      </c>
      <c r="O16" s="75">
        <v>5</v>
      </c>
    </row>
    <row r="17" spans="1:15" ht="117">
      <c r="A17" s="70" t="s">
        <v>422</v>
      </c>
      <c r="B17" s="71" t="s">
        <v>418</v>
      </c>
      <c r="C17" s="71">
        <v>12</v>
      </c>
      <c r="D17" s="73">
        <v>46325</v>
      </c>
      <c r="M17" s="70" t="s">
        <v>409</v>
      </c>
      <c r="N17" s="71" t="s">
        <v>423</v>
      </c>
      <c r="O17" s="71">
        <v>6</v>
      </c>
    </row>
    <row r="18" spans="1:15" ht="117">
      <c r="A18" s="74" t="s">
        <v>424</v>
      </c>
      <c r="B18" s="75" t="s">
        <v>395</v>
      </c>
      <c r="C18" s="75">
        <v>4</v>
      </c>
      <c r="D18" s="75"/>
      <c r="M18" s="74" t="s">
        <v>409</v>
      </c>
      <c r="N18" s="75" t="s">
        <v>425</v>
      </c>
      <c r="O18" s="75">
        <v>7</v>
      </c>
    </row>
    <row r="19" spans="1:15" ht="66.75">
      <c r="M19" s="70" t="s">
        <v>409</v>
      </c>
      <c r="N19" s="71" t="s">
        <v>426</v>
      </c>
      <c r="O19" s="71">
        <v>8</v>
      </c>
    </row>
    <row r="20" spans="1:15" ht="66.75">
      <c r="M20" s="74" t="s">
        <v>409</v>
      </c>
      <c r="N20" s="75" t="s">
        <v>427</v>
      </c>
      <c r="O20" s="75">
        <v>9</v>
      </c>
    </row>
    <row r="21" spans="1:15" ht="84">
      <c r="M21" s="70" t="s">
        <v>409</v>
      </c>
      <c r="N21" s="71" t="s">
        <v>428</v>
      </c>
      <c r="O21" s="71">
        <v>10</v>
      </c>
    </row>
    <row r="22" spans="1:15" ht="50.25">
      <c r="M22" s="74" t="s">
        <v>409</v>
      </c>
      <c r="N22" s="75" t="s">
        <v>429</v>
      </c>
      <c r="O22" s="75">
        <v>11</v>
      </c>
    </row>
    <row r="23" spans="1:15" ht="66.75">
      <c r="M23" s="70" t="s">
        <v>409</v>
      </c>
      <c r="N23" s="71" t="s">
        <v>430</v>
      </c>
      <c r="O23" s="71">
        <v>12</v>
      </c>
    </row>
    <row r="24" spans="1:15" ht="66.75">
      <c r="M24" s="74" t="s">
        <v>409</v>
      </c>
      <c r="N24" s="75" t="s">
        <v>431</v>
      </c>
      <c r="O24" s="75">
        <v>13</v>
      </c>
    </row>
  </sheetData>
  <mergeCells count="5">
    <mergeCell ref="A13:D13"/>
    <mergeCell ref="F3:K3"/>
    <mergeCell ref="F2:L2"/>
    <mergeCell ref="M3:O3"/>
    <mergeCell ref="A2:D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B364A-D890-48FA-9088-2F5DA62AC030}">
  <dimension ref="A3:Y14"/>
  <sheetViews>
    <sheetView topLeftCell="A29" workbookViewId="0">
      <selection activeCell="J43" sqref="J43"/>
    </sheetView>
  </sheetViews>
  <sheetFormatPr defaultRowHeight="15"/>
  <cols>
    <col min="1" max="16384" width="9.140625" style="63"/>
  </cols>
  <sheetData>
    <row r="3" spans="1:25">
      <c r="A3" s="108" t="s">
        <v>432</v>
      </c>
      <c r="B3" s="108"/>
      <c r="C3" s="108"/>
      <c r="D3" s="108"/>
      <c r="E3" s="108"/>
      <c r="F3" s="108"/>
      <c r="G3" s="108"/>
      <c r="H3" s="108"/>
      <c r="I3" s="108"/>
      <c r="J3" s="108"/>
      <c r="K3" s="108"/>
      <c r="M3" s="108" t="s">
        <v>433</v>
      </c>
      <c r="N3" s="108"/>
      <c r="O3" s="108"/>
      <c r="P3" s="108"/>
      <c r="Q3" s="108"/>
      <c r="R3" s="108"/>
      <c r="T3" s="108" t="s">
        <v>434</v>
      </c>
      <c r="U3" s="108"/>
      <c r="V3" s="108"/>
      <c r="X3" s="108" t="s">
        <v>435</v>
      </c>
      <c r="Y3" s="108"/>
    </row>
    <row r="4" spans="1:25" ht="83.25">
      <c r="A4" s="68" t="s">
        <v>6</v>
      </c>
      <c r="B4" s="69" t="s">
        <v>141</v>
      </c>
      <c r="C4" s="69" t="s">
        <v>436</v>
      </c>
      <c r="D4" s="69" t="s">
        <v>437</v>
      </c>
      <c r="E4" s="69" t="s">
        <v>438</v>
      </c>
      <c r="F4" s="69" t="s">
        <v>439</v>
      </c>
      <c r="G4" s="69" t="s">
        <v>440</v>
      </c>
      <c r="H4" s="69" t="s">
        <v>441</v>
      </c>
      <c r="I4" s="69" t="s">
        <v>442</v>
      </c>
      <c r="J4" s="69" t="s">
        <v>443</v>
      </c>
      <c r="K4" s="69" t="s">
        <v>444</v>
      </c>
      <c r="M4" s="68" t="s">
        <v>6</v>
      </c>
      <c r="N4" s="69" t="s">
        <v>141</v>
      </c>
      <c r="O4" s="69" t="s">
        <v>445</v>
      </c>
      <c r="P4" s="69" t="s">
        <v>446</v>
      </c>
      <c r="Q4" s="69" t="s">
        <v>447</v>
      </c>
      <c r="R4" s="69" t="s">
        <v>448</v>
      </c>
      <c r="T4" s="68" t="s">
        <v>141</v>
      </c>
      <c r="U4" s="69" t="s">
        <v>449</v>
      </c>
      <c r="V4" s="69" t="s">
        <v>448</v>
      </c>
      <c r="X4" s="68" t="s">
        <v>6</v>
      </c>
      <c r="Y4" s="69" t="s">
        <v>450</v>
      </c>
    </row>
    <row r="5" spans="1:25" ht="409.6">
      <c r="A5" s="81">
        <v>46113</v>
      </c>
      <c r="B5" s="71" t="s">
        <v>118</v>
      </c>
      <c r="C5" s="71" t="s">
        <v>451</v>
      </c>
      <c r="D5" s="71" t="s">
        <v>129</v>
      </c>
      <c r="E5" s="71">
        <v>40</v>
      </c>
      <c r="F5" s="106">
        <v>10</v>
      </c>
      <c r="G5" s="106">
        <v>400</v>
      </c>
      <c r="H5" s="106">
        <v>4800</v>
      </c>
      <c r="I5" s="106">
        <v>400</v>
      </c>
      <c r="J5" s="106">
        <v>4800</v>
      </c>
      <c r="K5" s="106">
        <v>0</v>
      </c>
      <c r="M5" s="81">
        <v>46113</v>
      </c>
      <c r="N5" s="71" t="s">
        <v>433</v>
      </c>
      <c r="O5" s="71" t="s">
        <v>452</v>
      </c>
      <c r="P5" s="71">
        <v>31200</v>
      </c>
      <c r="Q5" s="71" t="s">
        <v>453</v>
      </c>
      <c r="R5" s="71" t="s">
        <v>454</v>
      </c>
      <c r="T5" s="70" t="s">
        <v>118</v>
      </c>
      <c r="U5" s="71">
        <v>454428</v>
      </c>
      <c r="V5" s="71" t="s">
        <v>455</v>
      </c>
      <c r="X5" s="81">
        <v>46113</v>
      </c>
      <c r="Y5" s="71">
        <v>103680</v>
      </c>
    </row>
    <row r="6" spans="1:25" ht="117">
      <c r="A6" s="82">
        <v>46113</v>
      </c>
      <c r="B6" s="75" t="s">
        <v>118</v>
      </c>
      <c r="C6" s="75" t="s">
        <v>451</v>
      </c>
      <c r="D6" s="75" t="s">
        <v>132</v>
      </c>
      <c r="E6" s="75">
        <v>94</v>
      </c>
      <c r="F6" s="107">
        <v>60</v>
      </c>
      <c r="G6" s="107">
        <v>5640</v>
      </c>
      <c r="H6" s="107">
        <v>67680</v>
      </c>
      <c r="I6" s="107">
        <v>5640</v>
      </c>
      <c r="J6" s="107">
        <v>67680</v>
      </c>
      <c r="K6" s="107">
        <v>0</v>
      </c>
      <c r="M6" s="82">
        <v>46143</v>
      </c>
      <c r="N6" s="75" t="s">
        <v>433</v>
      </c>
      <c r="O6" s="75" t="s">
        <v>456</v>
      </c>
      <c r="P6" s="75">
        <v>0</v>
      </c>
      <c r="Q6" s="75"/>
      <c r="R6" s="75"/>
      <c r="T6" s="74" t="s">
        <v>433</v>
      </c>
      <c r="U6" s="75">
        <v>31200</v>
      </c>
      <c r="V6" s="75" t="s">
        <v>457</v>
      </c>
      <c r="X6" s="82">
        <v>46143</v>
      </c>
      <c r="Y6" s="75">
        <v>21000</v>
      </c>
    </row>
    <row r="7" spans="1:25" ht="66.75">
      <c r="A7" s="81">
        <v>46143</v>
      </c>
      <c r="B7" s="71" t="s">
        <v>118</v>
      </c>
      <c r="C7" s="71" t="s">
        <v>451</v>
      </c>
      <c r="D7" s="71" t="s">
        <v>129</v>
      </c>
      <c r="E7" s="71">
        <v>49</v>
      </c>
      <c r="F7" s="106">
        <v>10</v>
      </c>
      <c r="G7" s="106">
        <v>490</v>
      </c>
      <c r="H7" s="106">
        <v>5880</v>
      </c>
      <c r="I7" s="106">
        <v>490</v>
      </c>
      <c r="J7" s="106">
        <v>5880</v>
      </c>
      <c r="K7" s="106">
        <v>0</v>
      </c>
      <c r="M7" s="81">
        <v>46174</v>
      </c>
      <c r="N7" s="71" t="s">
        <v>433</v>
      </c>
      <c r="O7" s="71" t="s">
        <v>456</v>
      </c>
      <c r="P7" s="71">
        <v>0</v>
      </c>
      <c r="Q7" s="71"/>
      <c r="R7" s="71"/>
      <c r="X7" s="81">
        <v>46174</v>
      </c>
      <c r="Y7" s="71">
        <v>103200</v>
      </c>
    </row>
    <row r="8" spans="1:25" ht="66.75">
      <c r="A8" s="82">
        <v>46143</v>
      </c>
      <c r="B8" s="75" t="s">
        <v>118</v>
      </c>
      <c r="C8" s="75" t="s">
        <v>451</v>
      </c>
      <c r="D8" s="75" t="s">
        <v>132</v>
      </c>
      <c r="E8" s="75">
        <v>21</v>
      </c>
      <c r="F8" s="107">
        <v>60</v>
      </c>
      <c r="G8" s="107">
        <v>1260</v>
      </c>
      <c r="H8" s="107">
        <v>15120</v>
      </c>
      <c r="I8" s="107">
        <v>1260</v>
      </c>
      <c r="J8" s="107">
        <v>15120</v>
      </c>
      <c r="K8" s="107">
        <v>0</v>
      </c>
      <c r="M8" s="82">
        <v>46204</v>
      </c>
      <c r="N8" s="75" t="s">
        <v>433</v>
      </c>
      <c r="O8" s="75" t="s">
        <v>456</v>
      </c>
      <c r="P8" s="75">
        <v>0</v>
      </c>
      <c r="Q8" s="75"/>
      <c r="R8" s="75"/>
      <c r="X8" s="82">
        <v>46204</v>
      </c>
      <c r="Y8" s="75">
        <v>257748</v>
      </c>
    </row>
    <row r="9" spans="1:25" ht="66.75">
      <c r="A9" s="81">
        <v>46174</v>
      </c>
      <c r="B9" s="71" t="s">
        <v>118</v>
      </c>
      <c r="C9" s="71" t="s">
        <v>451</v>
      </c>
      <c r="D9" s="71" t="s">
        <v>129</v>
      </c>
      <c r="E9" s="71">
        <v>38</v>
      </c>
      <c r="F9" s="106">
        <v>10</v>
      </c>
      <c r="G9" s="106">
        <v>380</v>
      </c>
      <c r="H9" s="106">
        <v>4560</v>
      </c>
      <c r="I9" s="106">
        <v>380</v>
      </c>
      <c r="J9" s="106">
        <v>4560</v>
      </c>
      <c r="K9" s="106">
        <v>0</v>
      </c>
      <c r="X9" s="70" t="s">
        <v>458</v>
      </c>
      <c r="Y9" s="71">
        <v>485628</v>
      </c>
    </row>
    <row r="10" spans="1:25" ht="66.75">
      <c r="A10" s="82">
        <v>46174</v>
      </c>
      <c r="B10" s="75" t="s">
        <v>118</v>
      </c>
      <c r="C10" s="75" t="s">
        <v>451</v>
      </c>
      <c r="D10" s="75" t="s">
        <v>132</v>
      </c>
      <c r="E10" s="75">
        <v>71</v>
      </c>
      <c r="F10" s="107">
        <v>60</v>
      </c>
      <c r="G10" s="107">
        <v>4260</v>
      </c>
      <c r="H10" s="107">
        <v>51120</v>
      </c>
      <c r="I10" s="107">
        <v>4260</v>
      </c>
      <c r="J10" s="107">
        <v>51120</v>
      </c>
      <c r="K10" s="107">
        <v>0</v>
      </c>
    </row>
    <row r="11" spans="1:25" ht="66.75">
      <c r="A11" s="81">
        <v>46174</v>
      </c>
      <c r="B11" s="71" t="s">
        <v>118</v>
      </c>
      <c r="C11" s="71" t="s">
        <v>451</v>
      </c>
      <c r="D11" s="71" t="s">
        <v>459</v>
      </c>
      <c r="E11" s="71">
        <v>40</v>
      </c>
      <c r="F11" s="106">
        <v>99</v>
      </c>
      <c r="G11" s="106">
        <v>3960</v>
      </c>
      <c r="H11" s="106">
        <v>47520</v>
      </c>
      <c r="I11" s="106">
        <v>3960</v>
      </c>
      <c r="J11" s="106">
        <v>47520</v>
      </c>
      <c r="K11" s="106">
        <v>0</v>
      </c>
    </row>
    <row r="12" spans="1:25" ht="66.75">
      <c r="A12" s="82">
        <v>46204</v>
      </c>
      <c r="B12" s="75" t="s">
        <v>118</v>
      </c>
      <c r="C12" s="75" t="s">
        <v>451</v>
      </c>
      <c r="D12" s="75" t="s">
        <v>129</v>
      </c>
      <c r="E12" s="75">
        <v>533</v>
      </c>
      <c r="F12" s="107">
        <v>10</v>
      </c>
      <c r="G12" s="107">
        <v>5330</v>
      </c>
      <c r="H12" s="107">
        <v>63960</v>
      </c>
      <c r="I12" s="107">
        <v>5330</v>
      </c>
      <c r="J12" s="107">
        <v>63960</v>
      </c>
      <c r="K12" s="107">
        <v>0</v>
      </c>
    </row>
    <row r="13" spans="1:25" ht="66.75">
      <c r="A13" s="81">
        <v>46204</v>
      </c>
      <c r="B13" s="71" t="s">
        <v>118</v>
      </c>
      <c r="C13" s="71" t="s">
        <v>451</v>
      </c>
      <c r="D13" s="71" t="s">
        <v>132</v>
      </c>
      <c r="E13" s="71">
        <v>20</v>
      </c>
      <c r="F13" s="106">
        <v>60</v>
      </c>
      <c r="G13" s="106">
        <v>1200</v>
      </c>
      <c r="H13" s="106">
        <v>14400</v>
      </c>
      <c r="I13" s="106">
        <v>1200</v>
      </c>
      <c r="J13" s="106">
        <v>14400</v>
      </c>
      <c r="K13" s="106">
        <v>0</v>
      </c>
    </row>
    <row r="14" spans="1:25" ht="66.75">
      <c r="A14" s="82">
        <v>46204</v>
      </c>
      <c r="B14" s="75" t="s">
        <v>118</v>
      </c>
      <c r="C14" s="75" t="s">
        <v>451</v>
      </c>
      <c r="D14" s="75" t="s">
        <v>459</v>
      </c>
      <c r="E14" s="75">
        <v>151</v>
      </c>
      <c r="F14" s="107">
        <v>99</v>
      </c>
      <c r="G14" s="107">
        <v>14949</v>
      </c>
      <c r="H14" s="107">
        <v>179388</v>
      </c>
      <c r="I14" s="107">
        <v>14949</v>
      </c>
      <c r="J14" s="107">
        <v>179388</v>
      </c>
      <c r="K14" s="107">
        <v>0</v>
      </c>
    </row>
  </sheetData>
  <mergeCells count="4">
    <mergeCell ref="A3:K3"/>
    <mergeCell ref="M3:R3"/>
    <mergeCell ref="T3:V3"/>
    <mergeCell ref="X3:Y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Guest User</cp:lastModifiedBy>
  <cp:revision/>
  <dcterms:created xsi:type="dcterms:W3CDTF">2026-09-11T09:26:56Z</dcterms:created>
  <dcterms:modified xsi:type="dcterms:W3CDTF">2026-09-17T10:43:14Z</dcterms:modified>
  <cp:category/>
  <cp:contentStatus/>
</cp:coreProperties>
</file>